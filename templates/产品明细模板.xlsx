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360" activeTab="2"/>
  </bookViews>
  <sheets>
    <sheet name="明细" sheetId="3" r:id="rId1"/>
    <sheet name="商品管理" sheetId="5" r:id="rId2"/>
    <sheet name="FBA仓库代码表" sheetId="7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</externalReferences>
  <definedNames>
    <definedName name="_xlnm._FilterDatabase" localSheetId="1" hidden="1">商品管理!$A$1:$H$221</definedName>
    <definedName name="K">{#N/A,#N/A,FALSE,"FRANCE MONTH DETAIL  FFR";#N/A,#N/A,FALSE,"FRANCE MONTH DETAIL  NLG";#N/A,#N/A,FALSE,"FRANCE YTD  DETAIL FFR";#N/A,#N/A,FALSE,"FRANCE YTD  DETAIL NLG"}</definedName>
    <definedName name="J">#N/A</definedName>
    <definedName name="Q">#N/A</definedName>
    <definedName name="B">[40]Competitors!$S$26:$Z$44</definedName>
    <definedName name="\0">[3]Competitors!$A$12:$A$22</definedName>
    <definedName name="\A">#REF!</definedName>
    <definedName name="\B">#REF!</definedName>
    <definedName name="\C">#REF!</definedName>
    <definedName name="\L">#REF!</definedName>
    <definedName name="\M">#REF!</definedName>
    <definedName name="\p">'[2]AU Zone'!$U$2</definedName>
    <definedName name="\R">#REF!</definedName>
    <definedName name="\S">#REF!</definedName>
    <definedName name="\W">#REF!</definedName>
    <definedName name="\Z">#REF!</definedName>
    <definedName name="_?">#REF!</definedName>
    <definedName name="_??????">#REF!</definedName>
    <definedName name="__?">#REF!</definedName>
    <definedName name="__??????">#REF!</definedName>
    <definedName name="________________123Graph_ACHART_3">[4]Competitors!$E$5:$E$10</definedName>
    <definedName name="______________123Graph_ACHART_3">[4]Competitors!$E$5:$E$10</definedName>
    <definedName name="_____________Key1">#N/A</definedName>
    <definedName name="_____________Key2">#N/A</definedName>
    <definedName name="____________AFF2">#N/A</definedName>
    <definedName name="____________Key1">#REF!</definedName>
    <definedName name="____________Key2">#REF!</definedName>
    <definedName name="___________AFF1">#REF!</definedName>
    <definedName name="___________AFF2">#REF!</definedName>
    <definedName name="___________Key1">#REF!</definedName>
    <definedName name="___________Key2">#REF!</definedName>
    <definedName name="___________UPD1">#REF!</definedName>
    <definedName name="___________UPD2">#REF!</definedName>
    <definedName name="__________AFF2">#REF!</definedName>
    <definedName name="__________Key1">#REF!</definedName>
    <definedName name="__________Key2">#REF!</definedName>
    <definedName name="_________AFF1">#REF!</definedName>
    <definedName name="_________AFF2">#REF!</definedName>
    <definedName name="_________Key1">#REF!</definedName>
    <definedName name="_________Key2">#REF!</definedName>
    <definedName name="_________UPD1">#REF!</definedName>
    <definedName name="_________UPD2">#REF!</definedName>
    <definedName name="________123Graph_ACHART_3">#N/A</definedName>
    <definedName name="________123Graph_CCHART_3">[5]Competitors!$I$5:$I$10</definedName>
    <definedName name="________123Graph_DCHART_3">#N/A</definedName>
    <definedName name="________123Graph_DCHART_4">[5]Competitors!$K$12:$K$22</definedName>
    <definedName name="________AFF1">#REF!</definedName>
    <definedName name="________AFF2">#REF!</definedName>
    <definedName name="________Key1">#REF!</definedName>
    <definedName name="________Key2">#REF!</definedName>
    <definedName name="________UPD1">#REF!</definedName>
    <definedName name="________UPD2">#REF!</definedName>
    <definedName name="_______123Graph_ACHART_3">[5]Competitors!$E$5:$E$10</definedName>
    <definedName name="_______123Graph_ACHART_4">#N/A</definedName>
    <definedName name="_______123Graph_BCHART_3">#N/A</definedName>
    <definedName name="_______123Graph_BCHART_4">#N/A</definedName>
    <definedName name="_______123Graph_CCHART_3">#N/A</definedName>
    <definedName name="_______123Graph_CCHART_4">#N/A</definedName>
    <definedName name="_______123Graph_DCHART_3">[7]Competitors!$K$5:$K$10</definedName>
    <definedName name="_______123Graph_DCHART_4">#N/A</definedName>
    <definedName name="_______123Graph_ECHART_3">#N/A</definedName>
    <definedName name="_______123Graph_ECHART_4">#N/A</definedName>
    <definedName name="_______123Graph_FCHART_3">#N/A</definedName>
    <definedName name="_______123Graph_FCHART_4">#N/A</definedName>
    <definedName name="_______123Graph_XCHART_4">#N/A</definedName>
    <definedName name="_______AFF1">#N/A</definedName>
    <definedName name="_______AFF2">#REF!</definedName>
    <definedName name="_______Key1">#REF!</definedName>
    <definedName name="_______Key2">#REF!</definedName>
    <definedName name="_______UPD1">#N/A</definedName>
    <definedName name="_______UPD2">#N/A</definedName>
    <definedName name="______123Graph_ACHART_3">[8]Competitors!$E$5:$E$10</definedName>
    <definedName name="______123Graph_ACHART_4">[9]Competitors!$E$12:$E$22</definedName>
    <definedName name="______123Graph_BCHART_3">[8]Competitors!$G$5:$G$10</definedName>
    <definedName name="______123Graph_BCHART_4">[8]Competitors!$G$12:$G$22</definedName>
    <definedName name="______123Graph_CCHART_3">[8]Competitors!$I$5:$I$10</definedName>
    <definedName name="______123Graph_CCHART_4">[9]Competitors!$I$12:$I$22</definedName>
    <definedName name="______123Graph_DCHART_3">[9]Competitors!$K$5:$K$10</definedName>
    <definedName name="______123Graph_DCHART_4">[8]Competitors!$K$12:$K$22</definedName>
    <definedName name="______123Graph_ECHART_3">[9]Competitors!$M$5:$M$10</definedName>
    <definedName name="______123Graph_ECHART_4">[9]Competitors!$M$12:$M$22</definedName>
    <definedName name="______123Graph_FCHART_3">[9]Competitors!$B$5:$B$10</definedName>
    <definedName name="______123Graph_FCHART_4">[9]Competitors!$B$12:$B$22</definedName>
    <definedName name="______123Graph_XCHART_4">[9]Competitors!$A$12:$A$22</definedName>
    <definedName name="______AFF1">'[10]香港DHL-D'!#REF!</definedName>
    <definedName name="______AFF2">#REF!</definedName>
    <definedName name="______DAT5">#REF!</definedName>
    <definedName name="______EMS1">#REF!</definedName>
    <definedName name="______EMS2">#REF!</definedName>
    <definedName name="______Key1">#REF!</definedName>
    <definedName name="______Key2">#REF!</definedName>
    <definedName name="______KPI1">#REF!</definedName>
    <definedName name="______KPI2">#REF!</definedName>
    <definedName name="______uc1">'[11]ME uninvoiced cons'!#REF!</definedName>
    <definedName name="______uc2">'[11]ME uninvoiced cons'!#REF!</definedName>
    <definedName name="______UPD1">#N/A</definedName>
    <definedName name="______UPD2">#N/A</definedName>
    <definedName name="______WEF1">#REF!</definedName>
    <definedName name="______WEF2">#REF!</definedName>
    <definedName name="______XP1">#REF!</definedName>
    <definedName name="______XP2">#REF!</definedName>
    <definedName name="_____123Graph_ACHART_3">[9]Competitors!$E$5:$E$10</definedName>
    <definedName name="_____123Graph_ACHART_4">[5]Competitors!$E$12:$E$22</definedName>
    <definedName name="_____123Graph_BCHART_3">[9]Competitors!$G$5:$G$10</definedName>
    <definedName name="_____123Graph_BCHART_4">[5]Competitors!$G$12:$G$22</definedName>
    <definedName name="_____123Graph_CCHART_3">[4]Competitors!$I$5:$I$10</definedName>
    <definedName name="_____123Graph_CCHART_4">[5]Competitors!$I$12:$I$22</definedName>
    <definedName name="_____123Graph_DCHART_3">[5]Competitors!$K$5:$K$10</definedName>
    <definedName name="_____123Graph_DCHART_4">[4]Competitors!$K$12:$K$22</definedName>
    <definedName name="_____123Graph_ECHART_3">[5]Competitors!$M$5:$M$10</definedName>
    <definedName name="_____123Graph_ECHART_4">[5]Competitors!$M$12:$M$22</definedName>
    <definedName name="_____123Graph_FCHART_3">[5]Competitors!$B$5:$B$10</definedName>
    <definedName name="_____123Graph_FCHART_4">[5]Competitors!$B$12:$B$22</definedName>
    <definedName name="_____123Graph_XCHART_4">[5]Competitors!$A$12:$A$22</definedName>
    <definedName name="_____A1">#REF!</definedName>
    <definedName name="_____AFF1">'[12]#REF!'!$AD$203:$AQ$209</definedName>
    <definedName name="_____AFF2">#REF!</definedName>
    <definedName name="_____DAT5">#REF!</definedName>
    <definedName name="_____EMS1">#REF!</definedName>
    <definedName name="_____EMS2">#REF!</definedName>
    <definedName name="_____Key1">#N/A</definedName>
    <definedName name="_____Key2">#N/A</definedName>
    <definedName name="_____KPI1">#REF!</definedName>
    <definedName name="_____KPI2">#REF!</definedName>
    <definedName name="_____uc1">'[11]ME uninvoiced cons'!#REF!</definedName>
    <definedName name="_____uc2">'[11]ME uninvoiced cons'!#REF!</definedName>
    <definedName name="_____UPD1">'[13]#REF!'!$1:$7</definedName>
    <definedName name="_____UPD2">'[13]#REF!'!$1:$7</definedName>
    <definedName name="_____WEF1">#REF!</definedName>
    <definedName name="_____WEF2">#REF!</definedName>
    <definedName name="_____xlfn.COUNTIFS">#NAME?</definedName>
    <definedName name="_____XP1">#REF!</definedName>
    <definedName name="_____XP2">#REF!</definedName>
    <definedName name="____123Graph_ACHART_3">[7]Competitors!$E$5:$E$10</definedName>
    <definedName name="____123Graph_ACHART_4">[7]Competitors!$E$12:$E$22</definedName>
    <definedName name="____123Graph_BCHART_3">[7]Competitors!$G$5:$G$10</definedName>
    <definedName name="____123Graph_BCHART_4">[7]Competitors!$G$12:$G$22</definedName>
    <definedName name="____123Graph_CCHART_3">[7]Competitors!$I$5:$I$10</definedName>
    <definedName name="____123Graph_CCHART_4">[7]Competitors!$I$12:$I$22</definedName>
    <definedName name="____123Graph_DCHART_3">[14]Competitors!$K$5:$K$10</definedName>
    <definedName name="____123Graph_DCHART_4">[7]Competitors!$K$12:$K$22</definedName>
    <definedName name="____123Graph_ECHART_3">[7]Competitors!$M$5:$M$10</definedName>
    <definedName name="____123Graph_ECHART_4">[7]Competitors!$M$12:$M$22</definedName>
    <definedName name="____123Graph_FCHART_3">[7]Competitors!$B$5:$B$10</definedName>
    <definedName name="____123Graph_FCHART_4">[7]Competitors!$B$12:$B$22</definedName>
    <definedName name="____123Graph_XCHART_4">[7]Competitors!$A$12:$A$22</definedName>
    <definedName name="____a1">#N/A</definedName>
    <definedName name="____a2">#N/A</definedName>
    <definedName name="____a3">#N/A</definedName>
    <definedName name="____AFF1">#N/A</definedName>
    <definedName name="____AFF2">#N/A</definedName>
    <definedName name="____DAT5">#REF!</definedName>
    <definedName name="____dhd1">#N/A</definedName>
    <definedName name="____dox2">'[15]Min&amp;Inc'!$C$9:$L$18</definedName>
    <definedName name="____dpx2">'[15]Min&amp;Inc'!$C$35:$L$44</definedName>
    <definedName name="____EMS1">#REF!</definedName>
    <definedName name="____EMS2">#REF!</definedName>
    <definedName name="____fa15">'[11]New card vs old'!$A$1:$Y$63</definedName>
    <definedName name="____imp2">#N/A</definedName>
    <definedName name="____JP2">#REF!</definedName>
    <definedName name="____Key1">#N/A</definedName>
    <definedName name="____Key2">#N/A</definedName>
    <definedName name="____KPI1">#REF!</definedName>
    <definedName name="____KPI2">#REF!</definedName>
    <definedName name="____top40">#REF!</definedName>
    <definedName name="____uc1">'[11]ME uninvoiced cons'!#REF!</definedName>
    <definedName name="____uc2">'[11]ME uninvoiced cons'!#REF!</definedName>
    <definedName name="____UPD1">#N/A</definedName>
    <definedName name="____UPD2">#N/A</definedName>
    <definedName name="____WB1">#REF!</definedName>
    <definedName name="____WEF1">#REF!</definedName>
    <definedName name="____WEF2">#REF!</definedName>
    <definedName name="____wpx2">'[15]Min&amp;Inc'!$C$22:$L$31</definedName>
    <definedName name="____xlfn.COUNTIFS">#NAME?</definedName>
    <definedName name="____XP1">#REF!</definedName>
    <definedName name="____XP2">#REF!</definedName>
    <definedName name="___1__123Graph_ACHART_3">[16]Competitors!$E$5:$E$10</definedName>
    <definedName name="___10__123Graph_ECHART_4">[16]Competitors!$M$12:$M$22</definedName>
    <definedName name="___11__123Graph_FCHART_3">[16]Competitors!$B$5:$B$10</definedName>
    <definedName name="___12__123Graph_FCHART_4">[16]Competitors!$B$12:$B$22</definedName>
    <definedName name="___123Graph_ACHART_3">[14]Competitors!$E$5:$E$10</definedName>
    <definedName name="___123Graph_ACHART_4">[14]Competitors!$E$12:$E$22</definedName>
    <definedName name="___123Graph_BCHART_3">[14]Competitors!$G$5:$G$10</definedName>
    <definedName name="___123Graph_BCHART_4">[14]Competitors!$G$12:$G$22</definedName>
    <definedName name="___123Graph_CCHART_3">[14]Competitors!$I$5:$I$10</definedName>
    <definedName name="___123Graph_CCHART_4">[14]Competitors!$I$12:$I$22</definedName>
    <definedName name="___123Graph_DCHART_3">[14]Competitors!$K$5:$K$10</definedName>
    <definedName name="___123Graph_DCHART_4">[14]Competitors!$K$12:$K$22</definedName>
    <definedName name="___123Graph_ECHART_3">[14]Competitors!$M$5:$M$10</definedName>
    <definedName name="___123Graph_ECHART_4">[14]Competitors!$M$12:$M$22</definedName>
    <definedName name="___123Graph_FCHART_3">[14]Competitors!$B$5:$B$10</definedName>
    <definedName name="___123Graph_FCHART_4">[14]Competitors!$B$12:$B$22</definedName>
    <definedName name="___123Graph_XCHART_4">[14]Competitors!$A$12:$A$22</definedName>
    <definedName name="___13__123Graph_XCHART_4">[16]Competitors!$A$12:$A$22</definedName>
    <definedName name="___2__123Graph_ACHART_4">[16]Competitors!$E$12:$E$22</definedName>
    <definedName name="___3__123Graph_BCHART_3">[16]Competitors!$G$5:$G$10</definedName>
    <definedName name="___4__123Graph_BCHART_4">[16]Competitors!$G$12:$G$22</definedName>
    <definedName name="___5__123Graph_CCHART_3">[16]Competitors!$I$5:$I$10</definedName>
    <definedName name="___6__123Graph_CCHART_4">[16]Competitors!$I$12:$I$22</definedName>
    <definedName name="___7__123Graph_DCHART_3">[16]Competitors!$K$5:$K$10</definedName>
    <definedName name="___8__123Graph_DCHART_4">[16]Competitors!$K$12:$K$22</definedName>
    <definedName name="___9__123Graph_ECHART_3">[16]Competitors!$M$5:$M$10</definedName>
    <definedName name="___a1">#N/A</definedName>
    <definedName name="___a2">#N/A</definedName>
    <definedName name="___a3">#N/A</definedName>
    <definedName name="___AFF1">#N/A</definedName>
    <definedName name="___AFF2">#N/A</definedName>
    <definedName name="___DAT5">#REF!</definedName>
    <definedName name="___dhd1">#N/A</definedName>
    <definedName name="___DHL2">#N/A</definedName>
    <definedName name="___dox2">'[15]Min&amp;Inc'!$C$9:$L$18</definedName>
    <definedName name="___dpx2">'[15]Min&amp;Inc'!$C$35:$L$44</definedName>
    <definedName name="___EMS1">#REF!</definedName>
    <definedName name="___EMS2">#REF!</definedName>
    <definedName name="___fa15">'[11]New card vs old'!$A$1:$Y$63</definedName>
    <definedName name="___imp2">#N/A</definedName>
    <definedName name="___JP2">#REF!</definedName>
    <definedName name="___Key1">#REF!</definedName>
    <definedName name="___Key2">#REF!</definedName>
    <definedName name="___KPI1">#REF!</definedName>
    <definedName name="___KPI2">#REF!</definedName>
    <definedName name="___top40">#REF!</definedName>
    <definedName name="___uc1">'[11]ME uninvoiced cons'!#REF!</definedName>
    <definedName name="___uc2">'[11]ME uninvoiced cons'!#REF!</definedName>
    <definedName name="___UPD1">#N/A</definedName>
    <definedName name="___UPD2">#N/A</definedName>
    <definedName name="___WB1">#REF!</definedName>
    <definedName name="___WEF1">#REF!</definedName>
    <definedName name="___WEF2">#REF!</definedName>
    <definedName name="___wpx2">'[15]Min&amp;Inc'!$C$22:$L$31</definedName>
    <definedName name="___xlfn.COUNTIFS">#NAME?</definedName>
    <definedName name="___XP1">#REF!</definedName>
    <definedName name="___XP2">#REF!</definedName>
    <definedName name="__1__123Graph_ACHART_3">#N/A</definedName>
    <definedName name="__10__123Graph_CCHART_3">[18]Competitors!$I$5:$I$10</definedName>
    <definedName name="__10__123Graph_ECHART_4">#N/A</definedName>
    <definedName name="__11__123Graph_FCHART_3">#N/A</definedName>
    <definedName name="__12__123Graph_CCHART_4">[18]Competitors!$I$12:$I$22</definedName>
    <definedName name="__12__123Graph_FCHART_4">#N/A</definedName>
    <definedName name="__13__123Graph_XCHART_4">#N/A</definedName>
    <definedName name="__14__123Graph_DCHART_3">[18]Competitors!$K$5:$K$10</definedName>
    <definedName name="__16__123Graph_DCHART_4">[18]Competitors!$K$12:$K$22</definedName>
    <definedName name="__18__123Graph_ECHART_3">[18]Competitors!$M$5:$M$10</definedName>
    <definedName name="__2__123Graph_ACHART_3">[18]Competitors!$E$5:$E$10</definedName>
    <definedName name="__2__123Graph_ACHART_4">#N/A</definedName>
    <definedName name="__20__123Graph_ECHART_4">[18]Competitors!$M$12:$M$22</definedName>
    <definedName name="__22__123Graph_FCHART_3">[18]Competitors!$B$5:$B$10</definedName>
    <definedName name="__24__123Graph_FCHART_4">[18]Competitors!$B$12:$B$22</definedName>
    <definedName name="__26__123Graph_XCHART_4">[18]Competitors!$A$12:$A$22</definedName>
    <definedName name="__3__123Graph_BCHART_3">#N/A</definedName>
    <definedName name="__4__123Graph_ACHART_4">[18]Competitors!$E$12:$E$22</definedName>
    <definedName name="__4__123Graph_BCHART_4">#N/A</definedName>
    <definedName name="__5__123Graph_CCHART_3">#N/A</definedName>
    <definedName name="__6__123Graph_BCHART_3">[18]Competitors!$G$5:$G$10</definedName>
    <definedName name="__6__123Graph_CCHART_4">#N/A</definedName>
    <definedName name="__7__123Graph_DCHART_3">#N/A</definedName>
    <definedName name="__8__123Graph_BCHART_4">[18]Competitors!$G$12:$G$22</definedName>
    <definedName name="__8__123Graph_DCHART_4">#N/A</definedName>
    <definedName name="__9__123Graph_ECHART_3">#N/A</definedName>
    <definedName name="__a1">'[17]DHL-DOX'!$A$8:$K$17</definedName>
    <definedName name="__a2">#N/A</definedName>
    <definedName name="__a3">#N/A</definedName>
    <definedName name="__AAPR_AVA">'[19]#REF!'!$AJ$5</definedName>
    <definedName name="__AAUG_AVA">'[19]#REF!'!$AB$5</definedName>
    <definedName name="__ADEC_AVA">'[19]#REF!'!$AF$5</definedName>
    <definedName name="__AFEB_AVA">'[19]#REF!'!$AH$5</definedName>
    <definedName name="__AFF1">#N/A</definedName>
    <definedName name="__AFF2">#N/A</definedName>
    <definedName name="__AJAN_AVA">'[19]#REF!'!$AG$5</definedName>
    <definedName name="__AJUL_AVA">'[19]#REF!'!$AA$5</definedName>
    <definedName name="__AJUN_AVA">'[19]#REF!'!$AL$5</definedName>
    <definedName name="__AMAR_AVA">'[19]#REF!'!$AI$5</definedName>
    <definedName name="__AMAY_AVA">'[19]#REF!'!$AK$5</definedName>
    <definedName name="__ANOV_AVA">'[19]#REF!'!$AE$5</definedName>
    <definedName name="__AOCT_AVA">'[19]#REF!'!$AD$5</definedName>
    <definedName name="__ASEP_AVA">'[19]#REF!'!$AC$5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hd1">#N/A</definedName>
    <definedName name="__DHL2">#N/A</definedName>
    <definedName name="__dox2">'[15]Min&amp;Inc'!$C$9:$L$18</definedName>
    <definedName name="__dpx2">'[15]Min&amp;Inc'!$C$35:$L$44</definedName>
    <definedName name="__EMS1">#REF!</definedName>
    <definedName name="__EMS2">#REF!</definedName>
    <definedName name="__fa15">'[11]New card vs old'!$A$1:$Y$63</definedName>
    <definedName name="__FDS_HYPERLINK_TOGGLE_STATE__">"ON"</definedName>
    <definedName name="__imp2">#N/A</definedName>
    <definedName name="__JP2">#REF!</definedName>
    <definedName name="__Key1">#REF!</definedName>
    <definedName name="__Key2">#REF!</definedName>
    <definedName name="__KPI1">#REF!</definedName>
    <definedName name="__KPI2">#REF!</definedName>
    <definedName name="__Loc1">[20]Request!$M$125</definedName>
    <definedName name="__Loc10">[20]Request!$M$134</definedName>
    <definedName name="__Loc11">[20]Request!$M$135</definedName>
    <definedName name="__Loc12">[20]Request!$M$136</definedName>
    <definedName name="__Loc13">[20]Request!$M$137</definedName>
    <definedName name="__Loc14">[20]Request!$M$138</definedName>
    <definedName name="__Loc15">[20]Request!$M$139</definedName>
    <definedName name="__Loc16">[20]Request!$M$140</definedName>
    <definedName name="__Loc17">[20]Request!$M$141</definedName>
    <definedName name="__Loc18">[20]Request!$M$142</definedName>
    <definedName name="__Loc19">[20]Request!$M$143</definedName>
    <definedName name="__Loc2">[20]Request!$M$126</definedName>
    <definedName name="__Loc20">[20]Request!$M$144</definedName>
    <definedName name="__Loc21">[20]Request!$M$145</definedName>
    <definedName name="__Loc22">[20]Request!$M$146</definedName>
    <definedName name="__Loc23">[20]Request!$M$147</definedName>
    <definedName name="__Loc24">[20]Request!$M$148</definedName>
    <definedName name="__Loc25">[20]Request!$M$149</definedName>
    <definedName name="__Loc26">[20]Request!$M$150</definedName>
    <definedName name="__Loc3">[20]Request!$M$127</definedName>
    <definedName name="__Loc4">[20]Request!$M$128</definedName>
    <definedName name="__Loc5">[20]Request!$M$129</definedName>
    <definedName name="__Loc6">[20]Request!$M$130</definedName>
    <definedName name="__Loc7">[20]Request!$M$131</definedName>
    <definedName name="__Loc8">[20]Request!$M$132</definedName>
    <definedName name="__Loc9">[20]Request!$M$133</definedName>
    <definedName name="__MRP_YTD_AVA">'[19]#REF!'!$AN$5</definedName>
    <definedName name="__top40">#REF!</definedName>
    <definedName name="__TOTAL_AVA">'[19]#REF!'!$AM$5</definedName>
    <definedName name="__uc1">'[21]ME uninvoiced cons'!#REF!</definedName>
    <definedName name="__uc2">'[21]ME uninvoiced cons'!#REF!</definedName>
    <definedName name="__UPD1">#N/A</definedName>
    <definedName name="__UPD2">#N/A</definedName>
    <definedName name="__USP1">#REF!</definedName>
    <definedName name="__WB1">#REF!</definedName>
    <definedName name="__WEF1">#REF!</definedName>
    <definedName name="__WEF2">#REF!</definedName>
    <definedName name="__wpx2">'[15]Min&amp;Inc'!$C$22:$L$31</definedName>
    <definedName name="__xlfn.COUNTIFS">#NAME?</definedName>
    <definedName name="__XP1">#REF!</definedName>
    <definedName name="__XP2">#REF!</definedName>
    <definedName name="__YAPR_AVA">'[19]#REF!'!$AZ$5</definedName>
    <definedName name="__YAUG_AVA">'[19]#REF!'!$AR$5</definedName>
    <definedName name="__YDEC_AVA">'[19]#REF!'!$AV$5</definedName>
    <definedName name="__YFEB_AVA">'[19]#REF!'!$AX$5</definedName>
    <definedName name="__YJAN_AVA">'[19]#REF!'!$AW$5</definedName>
    <definedName name="__YJUL_AVA">'[19]#REF!'!$AQ$5</definedName>
    <definedName name="__YJUN_AVA">'[19]#REF!'!$BB$5</definedName>
    <definedName name="__YMAR_AVA">'[19]#REF!'!$AY$5</definedName>
    <definedName name="__YMAY_AVA">'[19]#REF!'!$BA$5</definedName>
    <definedName name="__YNOV_AVA">'[19]#REF!'!$AU$5</definedName>
    <definedName name="__YOCT_AVA">'[19]#REF!'!$AT$5</definedName>
    <definedName name="__YSEP_AVA">'[19]#REF!'!$AS$5</definedName>
    <definedName name="_1__123Graph_ACHART_3">#N/A</definedName>
    <definedName name="_10_">#REF!</definedName>
    <definedName name="_10__123Graph_CCHART_3">#N/A</definedName>
    <definedName name="_10__123Graph_ECHART_4">#N/A</definedName>
    <definedName name="_11__123Graph_FCHART_3">#N/A</definedName>
    <definedName name="_12__123Graph_CCHART_4">#N/A</definedName>
    <definedName name="_12__123Graph_FCHART_4">#N/A</definedName>
    <definedName name="_13__123Graph_XCHART_4">#N/A</definedName>
    <definedName name="_14__123Graph_DCHART_3">#N/A</definedName>
    <definedName name="_14db">#REF!</definedName>
    <definedName name="_14fa15_">'[23]New card vs old'!$A$1:$Y$63</definedName>
    <definedName name="_15ó__AFDRUKTITELS">#REF!</definedName>
    <definedName name="_16__123Graph_DCHART_4">#N/A</definedName>
    <definedName name="_18__123Graph_ECHART_3">#N/A</definedName>
    <definedName name="_2__123Graph_ACHART_3">#N/A</definedName>
    <definedName name="_2__123Graph_ACHART_4">#N/A</definedName>
    <definedName name="_20_">#REF!</definedName>
    <definedName name="_20__123Graph_ECHART_4">#N/A</definedName>
    <definedName name="_22__123Graph_FCHART_3">#N/A</definedName>
    <definedName name="_24__123Graph_FCHART_4">#N/A</definedName>
    <definedName name="_26__123Graph_XCHART_4">#N/A</definedName>
    <definedName name="_27fa15_">'[24]New card vs old'!$A$1:$Y$63</definedName>
    <definedName name="_2Z1_">'[25]TG-ON LINE'!#REF!</definedName>
    <definedName name="_3__123Graph_BCHART_3">#N/A</definedName>
    <definedName name="_30_">#REF!</definedName>
    <definedName name="_4__123Graph_ACHART_4">#N/A</definedName>
    <definedName name="_4__123Graph_BCHART_4">#N/A</definedName>
    <definedName name="_40_">#REF!</definedName>
    <definedName name="_5__123Graph_CCHART_3">#N/A</definedName>
    <definedName name="_50_">#REF!</definedName>
    <definedName name="_6__123Graph_BCHART_3">#N/A</definedName>
    <definedName name="_6__123Graph_CCHART_4">#N/A</definedName>
    <definedName name="_7__123Graph_DCHART_3">#N/A</definedName>
    <definedName name="_8__123Graph_BCHART_4">#N/A</definedName>
    <definedName name="_8__123Graph_DCHART_4">#N/A</definedName>
    <definedName name="_9__123Graph_ECHART_3">#N/A</definedName>
    <definedName name="_a1">'[17]DHL-DOX'!$A$8:$K$17</definedName>
    <definedName name="_a2">#N/A</definedName>
    <definedName name="_a3">#N/A</definedName>
    <definedName name="_AFF1">#REF!</definedName>
    <definedName name="_AFF2">#N/A</definedName>
    <definedName name="_CONTROLE">'[19]#REF!'!$A$1</definedName>
    <definedName name="_DAT1">'[27]#REF!'!$A$2:$A$400</definedName>
    <definedName name="_DAT2">'[27]#REF!'!$B$2:$B$400</definedName>
    <definedName name="_DAT3">'[27]#REF!'!$C$2:$C$400</definedName>
    <definedName name="_DAT4">'[27]#REF!'!$D$2:$D$400</definedName>
    <definedName name="_DAT5">'[19]#REF!'!$E$2:$E$404</definedName>
    <definedName name="_dhd1">#N/A</definedName>
    <definedName name="_DHL2">'[12]#REF!'!$A$1:$M$95</definedName>
    <definedName name="_dox2">'[15]Min&amp;Inc'!$C$9:$L$18</definedName>
    <definedName name="_dpx2">'[15]Min&amp;Inc'!$C$35:$L$44</definedName>
    <definedName name="_EMS1">'[19]#REF!'!$C$11:$S$149</definedName>
    <definedName name="_EMS2">'[19]#REF!'!$A$11:$S$149</definedName>
    <definedName name="_fa15">'[23]New card vs old'!$A$1:$Y$63</definedName>
    <definedName name="_Fill">#REF!</definedName>
    <definedName name="_FIN">#REF!</definedName>
    <definedName name="_imp2">#N/A</definedName>
    <definedName name="_IMP30319CONSO">#REF!</definedName>
    <definedName name="_IMPRESULTDIV">#REF!</definedName>
    <definedName name="_JP2">#REF!</definedName>
    <definedName name="_Key1">'[19]#REF!'!$C$24</definedName>
    <definedName name="_Key2">#REF!</definedName>
    <definedName name="_key3">#REF!</definedName>
    <definedName name="_KPI1">'[19]#REF!'!$C$11:$S$77</definedName>
    <definedName name="_KPI2">'[19]#REF!'!$A$11:$S$77</definedName>
    <definedName name="_Loc1">[28]Request!$M$125</definedName>
    <definedName name="_Loc10">[28]Request!$M$134</definedName>
    <definedName name="_Loc11">[28]Request!$M$135</definedName>
    <definedName name="_Loc12">[28]Request!$M$136</definedName>
    <definedName name="_Loc13">[28]Request!$M$137</definedName>
    <definedName name="_Loc14">[28]Request!$M$138</definedName>
    <definedName name="_Loc15">[28]Request!$M$139</definedName>
    <definedName name="_Loc16">[28]Request!$M$140</definedName>
    <definedName name="_Loc17">[28]Request!$M$141</definedName>
    <definedName name="_Loc18">[28]Request!$M$142</definedName>
    <definedName name="_Loc19">[28]Request!$M$143</definedName>
    <definedName name="_Loc2">[28]Request!$M$126</definedName>
    <definedName name="_Loc20">[28]Request!$M$144</definedName>
    <definedName name="_Loc21">[28]Request!$M$145</definedName>
    <definedName name="_Loc22">[28]Request!$M$146</definedName>
    <definedName name="_Loc23">[28]Request!$M$147</definedName>
    <definedName name="_Loc24">[28]Request!$M$148</definedName>
    <definedName name="_Loc25">[28]Request!$M$149</definedName>
    <definedName name="_Loc26">[28]Request!$M$150</definedName>
    <definedName name="_Loc3">[28]Request!$M$127</definedName>
    <definedName name="_Loc4">[28]Request!$M$128</definedName>
    <definedName name="_Loc5">[28]Request!$M$129</definedName>
    <definedName name="_Loc6">[28]Request!$M$130</definedName>
    <definedName name="_Loc7">[28]Request!$M$131</definedName>
    <definedName name="_Loc8">[28]Request!$M$132</definedName>
    <definedName name="_Loc9">[28]Request!$M$133</definedName>
    <definedName name="_MAJBUDGET">#REF!</definedName>
    <definedName name="_MAJCROSSCHG">#REF!</definedName>
    <definedName name="_MANUALINPUT">#REF!</definedName>
    <definedName name="_MENUIMPORT">#REF!</definedName>
    <definedName name="_Order1">255</definedName>
    <definedName name="_Order2">255</definedName>
    <definedName name="_Parse_Out">#N/A</definedName>
    <definedName name="_PG1">#REF!</definedName>
    <definedName name="_PG2">#REF!</definedName>
    <definedName name="_Pgs1">#REF!</definedName>
    <definedName name="_Pgs2">#REF!</definedName>
    <definedName name="_pk1">#REF!</definedName>
    <definedName name="_Sort">'[19]#REF!'!$B$24:$Q$37</definedName>
    <definedName name="_tem1">#REF!</definedName>
    <definedName name="_Toc286138597">#REF!</definedName>
    <definedName name="_Toc294444910">#REF!</definedName>
    <definedName name="_top40">#REF!</definedName>
    <definedName name="_uc1">'[21]ME uninvoiced cons'!#REF!</definedName>
    <definedName name="_uc2">'[21]ME uninvoiced cons'!#REF!</definedName>
    <definedName name="_UK2">#REF!</definedName>
    <definedName name="_UPD1">#N/A</definedName>
    <definedName name="_UPD2">#N/A</definedName>
    <definedName name="_UPLOAD">#REF!</definedName>
    <definedName name="_UPLOAD1">#REF!</definedName>
    <definedName name="_USP1">#REF!</definedName>
    <definedName name="_VERSIONS">#REF!</definedName>
    <definedName name="_WB1">#REF!</definedName>
    <definedName name="_WEF1">'[19]#REF!'!$C$11:$S$132</definedName>
    <definedName name="_WEF2">'[19]#REF!'!$A$11:$S$132</definedName>
    <definedName name="_wpx2">'[15]Min&amp;Inc'!$C$22:$L$31</definedName>
    <definedName name="_XP1">'[19]#REF!'!$C$11:$T$147</definedName>
    <definedName name="_XP2">'[19]#REF!'!$A$11:$T$147</definedName>
    <definedName name="_Z1">'[25]TG-ON LINE'!#REF!</definedName>
    <definedName name="《DHL操作要求及相关规定》">[29]渠道操作要求!$E$3</definedName>
    <definedName name="《FedEx操作要求及相关规定》">[29]渠道操作要求!$K$3</definedName>
    <definedName name="《TNT操作要求及相关规定》">[29]渠道操作要求!$A$3</definedName>
    <definedName name="《UPS操作要求及相关规定》">[29]渠道操作要求!$H$3</definedName>
    <definedName name="《电池货物包装要求》">[29]渠道操作要求!$P$3</definedName>
    <definedName name="a">#REF!</definedName>
    <definedName name="A_NPLWRANGE">#REF!</definedName>
    <definedName name="aa">[30]XL4Poppy!$C$39</definedName>
    <definedName name="aaa">#REF!</definedName>
    <definedName name="aaaa">{#N/A,#N/A,FALSE,"Week 2002";#N/A,#N/A,FALSE,"YTD 2002";#N/A,#N/A,FALSE,"Quarterly Trend(Q3)"}</definedName>
    <definedName name="aaabbb">#REF!</definedName>
    <definedName name="ab">{"F3 Presentation",#N/A,FALSE,"F3 ";"F3 detail",#N/A,FALSE,"F3 "}</definedName>
    <definedName name="abc">#REF!</definedName>
    <definedName name="ABDCKKEKC">[9]Competitors!$K$12:$K$22</definedName>
    <definedName name="ac">{"F3 detail",#N/A,FALSE,"F1";"F3 Presentation",#N/A,FALSE,"F3 "}</definedName>
    <definedName name="AccessDatabase">"C:\My Documents\Transit Times\standard transit times.mdb"</definedName>
    <definedName name="Account">[28]Request!$B$17</definedName>
    <definedName name="Acct_number">[31]Summary!$E$2</definedName>
    <definedName name="ACCTNUMBER">#REF!</definedName>
    <definedName name="ACPolicy">#REF!</definedName>
    <definedName name="Act">#REF!</definedName>
    <definedName name="ActTab">#REF!</definedName>
    <definedName name="ad">{"F3 Presentation",#N/A,FALSE,"F3 ";"F3 detail",#N/A,FALSE,"F3 "}</definedName>
    <definedName name="AD_WPX">'[32]#REF!'!$B$20:$K$28</definedName>
    <definedName name="ae">{"F3 Presentation",#N/A,FALSE,"F3 ";"F3 detail",#N/A,FALSE,"F3 "}</definedName>
    <definedName name="af">{"F3 detail",#N/A,FALSE,"F3 ";"F3 Presentation",#N/A,FALSE,"F3 "}</definedName>
    <definedName name="AFD">#REF!</definedName>
    <definedName name="AFDRUKTITELS_MI">#REF!</definedName>
    <definedName name="Agent">[28]Request!$A$60</definedName>
    <definedName name="Agent_Comm">[28]Request!$E$64</definedName>
    <definedName name="Agent_Delivery">[28]Request!$O$62</definedName>
    <definedName name="Agent_Involved">[28]Request!$P$62</definedName>
    <definedName name="Agent_Pickup">[28]Request!$N$62</definedName>
    <definedName name="Agent_Services">[28]Request!$E$66</definedName>
    <definedName name="AgentQ">[28]Request!$L$62</definedName>
    <definedName name="AK亚航A">'[33]#REF!'!$A$16:$D$24</definedName>
    <definedName name="AK亚航B">'[33]#REF!'!$A$16:$D$24</definedName>
    <definedName name="ALL">'[19]#REF!'!$E$8:$S$10</definedName>
    <definedName name="AllDiscountArea">[34]Discounts!$D$15:$Q$16,[34]Discounts!$S$15:$T$16,[34]Discounts!$D$22:$M$22,[34]Discounts!$O$22:$P$22,[34]Discounts!$T$22:$T$22,[34]Discounts!$D$29:$D$30,[34]Discounts!$F$29:$Q$30,[34]Discounts!$T$29:$T$30,[34]Discounts!$D$36:$D$36,[34]Discounts!$F$36:$M$36,[34]Discounts!$O$36:$P$36,[34]Discounts!$T$36:$T$36</definedName>
    <definedName name="ALLTREND">'[19]#REF!'!$E$8:$S$10</definedName>
    <definedName name="Alph_countries">[35]zones_input!$A$2:$A$214</definedName>
    <definedName name="AMSBALANCESHEET">'[19]#REF!'!$E$1847:$E$2325</definedName>
    <definedName name="AMSVAR">#REF!</definedName>
    <definedName name="AMSVARNLG">'[19]#REF!'!$B$1:$H$75</definedName>
    <definedName name="anakg">'[28]Shipments - kg current'!$D$1</definedName>
    <definedName name="analb">'[28]Shipments - lb current'!$D$1</definedName>
    <definedName name="ANALYSIS">'[19]#REF!'!$A$6:$O$194</definedName>
    <definedName name="any_pak_wt">#REF!</definedName>
    <definedName name="AOP___2005__EU">#REF!</definedName>
    <definedName name="ApDsctKgADNR">#REF!</definedName>
    <definedName name="ApDsctKgComm">#REF!</definedName>
    <definedName name="ApDsctKgH1">#REF!</definedName>
    <definedName name="ApDsctKgH2">#REF!</definedName>
    <definedName name="ApDsctKgIEAppCurDisct">#REF!</definedName>
    <definedName name="ApDsctKgIEAppMin">#REF!</definedName>
    <definedName name="ApDsctKgIEReqCurDisct">#REF!</definedName>
    <definedName name="ApDsctKgIEReqMin">#REF!</definedName>
    <definedName name="ApDsctKgIERestore">#REF!</definedName>
    <definedName name="ApDsctKgIPAppCurDisct">#REF!</definedName>
    <definedName name="ApDsctKgIPAppMin">#REF!</definedName>
    <definedName name="ApDsctKgIPReqCurDisct">#REF!</definedName>
    <definedName name="ApDsctKgIPReqMin">#REF!</definedName>
    <definedName name="ApDsctKgIPRestore">#REF!</definedName>
    <definedName name="ApDsctKgLR">#REF!</definedName>
    <definedName name="ApDsctKgLR1">#REF!</definedName>
    <definedName name="ApDsctKgQ1">#REF!</definedName>
    <definedName name="ApDsctKgQ10">#REF!</definedName>
    <definedName name="ApDsctKgQ2">#REF!</definedName>
    <definedName name="ApDsctKgQ3">#REF!</definedName>
    <definedName name="ApDsctKgQ4">#REF!</definedName>
    <definedName name="ApDsctKgQ5">#REF!</definedName>
    <definedName name="ApDsctKgQ6">#REF!</definedName>
    <definedName name="ApDsctKgQ7">#REF!</definedName>
    <definedName name="ApDsctKgQ8">#REF!</definedName>
    <definedName name="ApDsctKgQ9">#REF!</definedName>
    <definedName name="ApDsctKgRMIE">#REF!</definedName>
    <definedName name="ApDsctKgRMIP">#REF!</definedName>
    <definedName name="ApDsctKgSIE">#REF!</definedName>
    <definedName name="ApDsctKgSIP">#REF!</definedName>
    <definedName name="ApDsctLbADNR">'[28]Approved Discts-lb'!$F$7:$AE$7</definedName>
    <definedName name="ApDsctLbComm">'[28]Approved Discts-lb'!$F$159</definedName>
    <definedName name="ApDsctLbH1">'[28]Approved Discts-lb'!$F$3:$H$4</definedName>
    <definedName name="ApDsctLbH2">'[28]Approved Discts-lb'!$Z$3:$Z$4</definedName>
    <definedName name="ApDsctLbIEAppCurDisct">'[28]Approved Discts-lb'!$A$111:$AE$114</definedName>
    <definedName name="ApDsctLbIEAppMin">'[28]Approved Discts-lb'!$A$108:$AE$110</definedName>
    <definedName name="ApDsctLbIEReqCurDisct">'[28]Approved Discts-lb'!$A$85:$AE$88</definedName>
    <definedName name="ApDsctLbIEReqMin">'[28]Approved Discts-lb'!$B$82:$AE$84</definedName>
    <definedName name="ApDsctLbIERestore">'[28]Approved Discts-lb'!$F$364:$AE$387</definedName>
    <definedName name="ApDsctLbIPAppCurDisct">'[28]Approved Discts-lb'!$A$50:$AE$55</definedName>
    <definedName name="ApDsctLbIPAppMin">'[28]Approved Discts-lb'!$A$45:$AE$49</definedName>
    <definedName name="ApDsctLbIPReqCurDisct">'[28]Approved Discts-lb'!$A$18:$AE$23</definedName>
    <definedName name="ApDsctLbIPReqMin">'[28]Approved Discts-lb'!$A$13:$AE$17</definedName>
    <definedName name="ApDsctLbIPRestore">'[28]Approved Discts-lb'!$F$326:$AE$355</definedName>
    <definedName name="ApDsctLbLR">'[28]Approved Discts-lb'!$F$11:$AE$11</definedName>
    <definedName name="ApDsctLbLR1">'[28]Approved Discts-lb'!$F$81:$AE$81</definedName>
    <definedName name="ApDsctLbQ1">'[28]Approved Discts-lb'!$AG$134</definedName>
    <definedName name="ApDsctLbQ10">'[28]Approved Discts-lb'!$AG$154</definedName>
    <definedName name="ApDsctLbQ2">'[28]Approved Discts-lb'!$AG$136</definedName>
    <definedName name="ApDsctLbQ3">'[28]Approved Discts-lb'!$AG$138</definedName>
    <definedName name="ApDsctLbQ4">'[28]Approved Discts-lb'!$AG$141</definedName>
    <definedName name="ApDsctLbQ5">'[28]Approved Discts-lb'!$AG$143</definedName>
    <definedName name="ApDsctLbQ6">'[28]Approved Discts-lb'!$AG$145</definedName>
    <definedName name="ApDsctLbQ7">'[28]Approved Discts-lb'!$AG$147</definedName>
    <definedName name="ApDsctLbQ8">'[28]Approved Discts-lb'!$AG$149</definedName>
    <definedName name="ApDsctLbQ9">'[28]Approved Discts-lb'!$AG$151</definedName>
    <definedName name="ApDsctLbRMIE">'[28]Approved Discts-lb'!$F$109:$AE$132</definedName>
    <definedName name="ApDsctLbRMIP">'[28]Approved Discts-lb'!$F$46:$AE$75</definedName>
    <definedName name="ApDsctLbSIE">'[28]Approved Discts-lb'!$F$83:$AE$106</definedName>
    <definedName name="ApDsctLbSIP">'[28]Approved Discts-lb'!$F$14:$AE$43</definedName>
    <definedName name="Application">[36]Sheet2!$I$18</definedName>
    <definedName name="Approval">[28]Request!$P$16</definedName>
    <definedName name="apq1wtbk">#REF!</definedName>
    <definedName name="AR">[37]HKG!$E$5:$E$10</definedName>
    <definedName name="area">[38]目录!$B$46</definedName>
    <definedName name="A价">'[39]#REF!'!$N$42:$Y$96</definedName>
    <definedName name="backup">'[41]#REF!'!$K$1:$Q$38</definedName>
    <definedName name="BalanceAllocationDivisionsMarch_31__2000">'[42] prelimanery BS'!$B$2:$H$24</definedName>
    <definedName name="BANALYSIS">'[19]#REF!'!$B$1:$B$5</definedName>
    <definedName name="band_num">#REF!</definedName>
    <definedName name="basismodel">[22]REFERENTIE!$F$95</definedName>
    <definedName name="bbb">'[43]#REF!'!#REF!</definedName>
    <definedName name="BELLOW1">'[19]#REF!'!$C$173:$S$271</definedName>
    <definedName name="BFDG">#N/A</definedName>
    <definedName name="BGact2003E">'[45]#REF!'!$A$51:$E$84</definedName>
    <definedName name="BGact2003R">'[45]#REF!'!$A$8:$E$42</definedName>
    <definedName name="BGbud2003E">'[45]#REF!'!$P$51:$T$84</definedName>
    <definedName name="BGbud2003R">'[45]#REF!'!$P$8:$T$42</definedName>
    <definedName name="BI">'[46]#REF!'!$C$16:$D$22</definedName>
    <definedName name="Bill_3P">[28]Request!$M$29</definedName>
    <definedName name="Bill_Consignee">[28]Request!$L$29</definedName>
    <definedName name="Billing_Option">[28]Request!$A$29</definedName>
    <definedName name="Biz_type">[47]Ref!$O$11:$O$12</definedName>
    <definedName name="BM">'[46]#REF!'!$C$6:$E$15</definedName>
    <definedName name="BOR">#REF!</definedName>
    <definedName name="BORDERMONTHLY">'[19]#REF!'!$F$1:$F$10</definedName>
    <definedName name="BS">'[19]#REF!'!$D$1850:$D$2325</definedName>
    <definedName name="BSCF">'[48]Belgium BS &amp; CF'!#REF!</definedName>
    <definedName name="BSCF_act">'[48]Belgium BS &amp; CF'!#REF!</definedName>
    <definedName name="BSCF_bud">'[48]Belgium BS &amp; CF'!#REF!</definedName>
    <definedName name="BSCF_cf_act">'[48]Belgium BS &amp; CF'!#REF!</definedName>
    <definedName name="BSCF_cf_bud">'[48]Belgium BS &amp; CF'!#REF!</definedName>
    <definedName name="budget">'[49]-&gt; EDV Budget'!$C$1:$N$7</definedName>
    <definedName name="BUDGETFORMAT">'[45]#REF!'!$A$1:$P$2</definedName>
    <definedName name="BUDOPSWEFWK">#REF!</definedName>
    <definedName name="Business_Type">[28]Request!$G$31</definedName>
    <definedName name="BWE">[28]TempVariables!$K$3</definedName>
    <definedName name="C_COSTCARD">#REF!</definedName>
    <definedName name="C_COSTDATA">#REF!</definedName>
    <definedName name="C_DOXGRAPH">#REF!</definedName>
    <definedName name="C_MARGINCARD">#REF!</definedName>
    <definedName name="C_RATECARD">#REF!</definedName>
    <definedName name="ca">{"F3 detail",#N/A,FALSE,"F1";"F3 Presentation",#N/A,FALSE,"F3 "}</definedName>
    <definedName name="CalendarYear">#REF!</definedName>
    <definedName name="Capital_expenditures">'[42]Capital expenditures'!$A$3:$D$20</definedName>
    <definedName name="CARAR">'[46]#REF!'!$C$50:$E$58</definedName>
    <definedName name="CARD">#REF!</definedName>
    <definedName name="CARLIAB">'[46]#REF!'!$C$38:$E$46</definedName>
    <definedName name="CATEGORY">'[45]#REF!'!$B$3</definedName>
    <definedName name="CATEGORYPOV">'[45]#REF!'!$B$3</definedName>
    <definedName name="CATLIST">'[45]#REF!'!$A$1:$A$3</definedName>
    <definedName name="CATRESULT">[50]List!$B$243</definedName>
    <definedName name="cc">'[51]#REF!'!$E$19:$E$22</definedName>
    <definedName name="CC_WPX">#REF!</definedName>
    <definedName name="CELLPOINTER">#REF!</definedName>
    <definedName name="check">'[45]#REF!'!$G$5</definedName>
    <definedName name="CHIFFRE">#REF!</definedName>
    <definedName name="Chk_Origin_Cntry">[28]Request!$L$151</definedName>
    <definedName name="Chk_Provinces_Cities">[28]Request!$S$151</definedName>
    <definedName name="Chk_Ship_Loc">[28]Request!$R$151</definedName>
    <definedName name="Clearance_Reqd">[28]Request!$A$82</definedName>
    <definedName name="CLIENT">[52]INDEX!$D$5</definedName>
    <definedName name="CN_NEW_CARD">#REF!</definedName>
    <definedName name="CN_ZONES">#REF!</definedName>
    <definedName name="CNDHL">[37]HKG!$G$5:$G$10</definedName>
    <definedName name="CNP_NEW_CARD">#REF!</definedName>
    <definedName name="CNP_ZONES">#REF!</definedName>
    <definedName name="CNSAFT">#REF!</definedName>
    <definedName name="CNSEMS">#REF!</definedName>
    <definedName name="CNSGLO">#REF!</definedName>
    <definedName name="CNSMF">#REF!</definedName>
    <definedName name="CNSNAT">#REF!</definedName>
    <definedName name="CNSSKYPPD">#REF!</definedName>
    <definedName name="CNSSS">#REF!</definedName>
    <definedName name="CNSWEF">#REF!</definedName>
    <definedName name="CNSXP">#REF!</definedName>
    <definedName name="COLBUD">#REF!</definedName>
    <definedName name="COLBUDSE3">#REF!</definedName>
    <definedName name="ColumnTitleRegion1..H12.1">#REF!</definedName>
    <definedName name="ColumnTitleRegion1..H12.10">#REF!</definedName>
    <definedName name="ColumnTitleRegion1..H12.11">#REF!</definedName>
    <definedName name="ColumnTitleRegion1..H12.12">#REF!</definedName>
    <definedName name="ColumnTitleRegion1..H12.2">#REF!</definedName>
    <definedName name="ColumnTitleRegion1..H12.3">#REF!</definedName>
    <definedName name="ColumnTitleRegion1..H12.4">#REF!</definedName>
    <definedName name="ColumnTitleRegion1..H12.5">#REF!</definedName>
    <definedName name="ColumnTitleRegion1..H12.6">#REF!</definedName>
    <definedName name="ColumnTitleRegion1..H12.7">#REF!</definedName>
    <definedName name="ColumnTitleRegion1..H12.8">#REF!</definedName>
    <definedName name="ColumnTitleRegion1..H12.9">#REF!</definedName>
    <definedName name="ColumnTitleRegion2..C14.1">#REF!</definedName>
    <definedName name="ColumnTitleRegion2..C14.10">#REF!</definedName>
    <definedName name="ColumnTitleRegion2..C14.11">#REF!</definedName>
    <definedName name="ColumnTitleRegion2..C14.12">#REF!</definedName>
    <definedName name="ColumnTitleRegion2..C14.2">#REF!</definedName>
    <definedName name="ColumnTitleRegion2..C14.3">#REF!</definedName>
    <definedName name="ColumnTitleRegion2..C14.4">#REF!</definedName>
    <definedName name="ColumnTitleRegion2..C14.5">#REF!</definedName>
    <definedName name="ColumnTitleRegion2..C14.6">#REF!</definedName>
    <definedName name="ColumnTitleRegion2..C14.7">#REF!</definedName>
    <definedName name="ColumnTitleRegion2..C14.8">#REF!</definedName>
    <definedName name="ColumnTitleRegion2..C14.9">#REF!</definedName>
    <definedName name="Commodity1">[28]Request!$I$48</definedName>
    <definedName name="Commodity2">[28]Request!$I$49</definedName>
    <definedName name="comp_netcomp">'[26]copy of compnetrates'!$C$4:$M$105</definedName>
    <definedName name="comp_netrates">'[44]Competition (ctry input)'!$C$4:$J$15,'[44]Competition (ctry input)'!$C$21:$J$110</definedName>
    <definedName name="comp1">#REF!</definedName>
    <definedName name="comp1_45">#REF!</definedName>
    <definedName name="comp2">[53]comp2!$U$6:$AH$115</definedName>
    <definedName name="Comp2_xpd">[54]Comp2!#REF!,[54]Comp2!#REF!</definedName>
    <definedName name="comp3">[53]comp3!$U$6:$AH$115</definedName>
    <definedName name="Competitor">[28]Request!$I$54</definedName>
    <definedName name="Competitors">#N/A</definedName>
    <definedName name="Competitors__IMP">#REF!</definedName>
    <definedName name="competitors1">[55]Competitors!$A$1:$M$81</definedName>
    <definedName name="competitors2">[56]Competitors!$Q$1:$AB$171</definedName>
    <definedName name="compnew">[53]compnew!$U$6:$AH$115</definedName>
    <definedName name="compnewvscomp2">[53]comp2vscompnew!$AQ$3:$BJ$112</definedName>
    <definedName name="compnewvscomp3">[53]comp3vscompnew!$AQ$3:$BJ$113</definedName>
    <definedName name="compnewvsold">'[53]compnew vs compold'!$AQ$3:$BJ$113</definedName>
    <definedName name="compold">[53]compold!$U$6:$AH$115</definedName>
    <definedName name="COMPTE">#REF!</definedName>
    <definedName name="CON">'[57]Marketing Code'!$C$2:$C$11</definedName>
    <definedName name="Consolidated_Balance_Sheet_after_appropriation_of_net_income">'[42]balance sheet'!$A$2:$E$37</definedName>
    <definedName name="Consolidated_Cash_Flow_Statements_after_appropriation_of_net_income____m">'[58]#REF!'!$A$4:$E$49</definedName>
    <definedName name="CONSOLIDATED1">#REF!</definedName>
    <definedName name="CONSWGT">'[19]#REF!'!$E$161:$E$1333</definedName>
    <definedName name="CONSWGTFILE">#REF!</definedName>
    <definedName name="CONTDE">'[27]#REF!'!$B$2:$D$192</definedName>
    <definedName name="CONTFD">'[27]#REF!'!$B$193:$D$222</definedName>
    <definedName name="CONTFE">'[27]#REF!'!$B$223:$E$321</definedName>
    <definedName name="CONTPD">'[27]#REF!'!$B$323:$D$358</definedName>
    <definedName name="CONTPE">'[27]#REF!'!$B$359:$D$541</definedName>
    <definedName name="Contract">'[32]#REF!'!$B$4:$E$53</definedName>
    <definedName name="Contract_rates">#REF!</definedName>
    <definedName name="ContractCodeDOM">#REF!</definedName>
    <definedName name="ContractCodeIB">#REF!</definedName>
    <definedName name="ContractCodeOB">#REF!</definedName>
    <definedName name="ContractCodeTDDIB">#REF!</definedName>
    <definedName name="ContractCodeTDDOB">#REF!</definedName>
    <definedName name="contractslookup">#REF!</definedName>
    <definedName name="CONWGH">#REF!</definedName>
    <definedName name="COPIES">#N/A</definedName>
    <definedName name="COU_CODE">[59]Code!$A:$A,[59]Code!$C:$C</definedName>
    <definedName name="countries">[35]zones_input!$A$2:$C$202</definedName>
    <definedName name="Country">#REF!</definedName>
    <definedName name="Country_Code">#REF!</definedName>
    <definedName name="Country_kpi_act">'[48]Belgium KPI'!#REF!</definedName>
    <definedName name="Country_kpi_blok">'[45]#REF!'!$C$59:$R$73</definedName>
    <definedName name="Country_kpi_blok_EMN">'[45]#REF!'!$T$59:$W$73</definedName>
    <definedName name="Country_kpi_bud">'[48]Belgium KPI'!#REF!</definedName>
    <definedName name="Country_kpi_EMN">'[45]#REF!'!$T$9:$W$19</definedName>
    <definedName name="Country_kpi_margins">'[45]#REF!'!$C$24:$R$33</definedName>
    <definedName name="Country_kpi_margins_emn">'[45]#REF!'!$T$24:$W$33</definedName>
    <definedName name="Country_kpi_per">'[45]#REF!'!$C$9:$R$19</definedName>
    <definedName name="Country_margins_act">'[48]Belgium KPI'!#REF!</definedName>
    <definedName name="Country_margins_bud">'[48]Belgium KPI'!#REF!</definedName>
    <definedName name="Country_Name">#REF!</definedName>
    <definedName name="country_selection">[35]control!$S$4:$S$5</definedName>
    <definedName name="country_to_band">#REF!</definedName>
    <definedName name="Countrylist">[60]Country!$A$3:$A$23</definedName>
    <definedName name="Countryname">#REF!</definedName>
    <definedName name="COY">'[19]#REF!'!$D$1355:$D$1846</definedName>
    <definedName name="CRIT">#REF!</definedName>
    <definedName name="CROSSCHGEMS">'[19]#REF!'!$L$220</definedName>
    <definedName name="CROSSCHGEMS1">'[19]#REF!'!$O$220</definedName>
    <definedName name="CROSSCHGSERO">'[19]#REF!'!$L$220</definedName>
    <definedName name="CROSSCHGSERO1">'[19]#REF!'!$O$220</definedName>
    <definedName name="CSource">[35]control!$D$27:$D$29</definedName>
    <definedName name="ctry.name">#REF!</definedName>
    <definedName name="Cur_Disct">[28]Request!$P$19</definedName>
    <definedName name="curr">#REF!</definedName>
    <definedName name="Curr_and_Incr">[28]Request!$R$32</definedName>
    <definedName name="Curr_Incr">[28]Request!$M$32</definedName>
    <definedName name="curr_ipt_rt">'[61]User Input'!#REF!</definedName>
    <definedName name="Curr98">[62]Curr_conv!$AC$11</definedName>
    <definedName name="CurrDOXCard">'[12]#REF!'!$D$4:$N$57</definedName>
    <definedName name="Currency">#REF!</definedName>
    <definedName name="Currencyname">#REF!</definedName>
    <definedName name="Current">'[28]Shipments - current'!$E$4:$Z$65536</definedName>
    <definedName name="CURRENT_CARD">#REF!</definedName>
    <definedName name="Current_Only">[28]Request!$P$32</definedName>
    <definedName name="CurrentDetail">'[28]Shipments - current'!$A$3</definedName>
    <definedName name="CurrentDetailEnd">'[28]Shipments - current'!$AH$3</definedName>
    <definedName name="CURRENTYEAR">#REF!</definedName>
    <definedName name="CurrWPXCard">'[63]Current IMP'!#REF!</definedName>
    <definedName name="Cust_Clear">[28]Request!$P$84</definedName>
    <definedName name="CustClearQ">[28]Request!$L$84</definedName>
    <definedName name="CUSTNAME">#REF!</definedName>
    <definedName name="Customer">[64]Summary!$B$1</definedName>
    <definedName name="CUSTOMER_CODE">'[65]Customer Code'!$B$2:$B$30</definedName>
    <definedName name="Customer_name">#REF!</definedName>
    <definedName name="cv">{"F3 detail",#N/A,FALSE,"F1";"F3 Presentation",#N/A,FALSE,"F3 "}</definedName>
    <definedName name="CZ直飞悉尼迪拜">#REF!</definedName>
    <definedName name="D">#N/A</definedName>
    <definedName name="dabse">#REF!</definedName>
    <definedName name="data">[66]Zones!$A$9:$X$177</definedName>
    <definedName name="Data2">'[45]#REF!'!$A$1:$F$43</definedName>
    <definedName name="Database">'[67]#REF!'!$A$4:$C$65</definedName>
    <definedName name="DataEP">'[45]#REF!'!$A$1:$F$11</definedName>
    <definedName name="DataNI">'[45]#REF!'!$A$1:$G$27</definedName>
    <definedName name="DATE">#REF!</definedName>
    <definedName name="Date1">[28]Request!$P$17</definedName>
    <definedName name="Date2">[28]Request!$Q$17</definedName>
    <definedName name="datos">[68]rates_input!$A$3:$B$999</definedName>
    <definedName name="Day_Definite_Value_Added_Services_and_Surcharges">#REF!</definedName>
    <definedName name="DaysAndWeeks">{0,1,2,3,4,5,6}+{0;1;2;3;4;5}*7</definedName>
    <definedName name="dbase">#REF!</definedName>
    <definedName name="dd">'[43]#REF!'!#REF!</definedName>
    <definedName name="DDDOMCONTRACTS">#REF!</definedName>
    <definedName name="DDDOMVOLUMETRIC">#REF!</definedName>
    <definedName name="DDDOMZONING">#REF!</definedName>
    <definedName name="DDINTCONTRACTS">#REF!</definedName>
    <definedName name="DDINTVOLUMETRIC">#REF!</definedName>
    <definedName name="DDINTZONING">#REF!</definedName>
    <definedName name="DE_UPS">#REF!</definedName>
    <definedName name="DE_德国UPS包税小包">#REF!</definedName>
    <definedName name="decimals">#REF!</definedName>
    <definedName name="Declared_Value">[28]Request!$E$89</definedName>
    <definedName name="Default">[47]Ref!$O$5:$O$7</definedName>
    <definedName name="DepotAC">'[19]#REF!'!$O$8:$O$22</definedName>
    <definedName name="DepotStA20">'[19]#REF!'!$C$8:$C$22</definedName>
    <definedName name="DepotStA6">'[19]#REF!'!$G$8:$G$22</definedName>
    <definedName name="DepotSTRoute">'[19]#REF!'!$K$8:$K$22</definedName>
    <definedName name="DepotZiek">'[19]#REF!'!$S$8:$S$22</definedName>
    <definedName name="dest">#N/A</definedName>
    <definedName name="dest.rev">#REF!</definedName>
    <definedName name="dest.svc">#REF!</definedName>
    <definedName name="Dest_Countries">[28]Request!$N$125:$N$150</definedName>
    <definedName name="Dest_Country_Copy">[28]Request!$R$19</definedName>
    <definedName name="Dest_Scenario">[28]Request!$E$78</definedName>
    <definedName name="Dest1">[28]Request!$N$125</definedName>
    <definedName name="Dest10">[28]Request!$N$134</definedName>
    <definedName name="Dest11">[28]Request!$N$135</definedName>
    <definedName name="Dest12">[28]Request!$N$136</definedName>
    <definedName name="Dest13">[28]Request!$N$137</definedName>
    <definedName name="Dest14">[28]Request!$N$138</definedName>
    <definedName name="Dest15">[28]Request!$N$139</definedName>
    <definedName name="Dest16">[28]Request!$N$140</definedName>
    <definedName name="Dest17">[28]Request!$N$141</definedName>
    <definedName name="Dest18">[28]Request!$N$142</definedName>
    <definedName name="Dest19">[28]Request!$N$143</definedName>
    <definedName name="Dest2">[28]Request!$N$126</definedName>
    <definedName name="Dest20">[28]Request!$N$144</definedName>
    <definedName name="Dest21">[28]Request!$N$145</definedName>
    <definedName name="Dest22">[28]Request!$N$146</definedName>
    <definedName name="Dest23">[28]Request!$N$147</definedName>
    <definedName name="Dest24">[28]Request!$N$148</definedName>
    <definedName name="Dest25">[28]Request!$N$149</definedName>
    <definedName name="Dest26">[28]Request!$N$150</definedName>
    <definedName name="Dest3">[28]Request!$N$127</definedName>
    <definedName name="Dest4">[28]Request!$N$128</definedName>
    <definedName name="Dest5">[28]Request!$N$129</definedName>
    <definedName name="Dest6">[28]Request!$N$130</definedName>
    <definedName name="Dest7">[28]Request!$N$131</definedName>
    <definedName name="Dest8">[28]Request!$N$132</definedName>
    <definedName name="Dest9">[28]Request!$N$133</definedName>
    <definedName name="DESTCOSTS">#REF!</definedName>
    <definedName name="destin">#N/A</definedName>
    <definedName name="Destination">#REF!</definedName>
    <definedName name="Destinations">[56]Competitors!$R$136:$X$175</definedName>
    <definedName name="df">{"F3 detail",#N/A,FALSE,"F1";"F3 Presentation",#N/A,FALSE,"F3 "}</definedName>
    <definedName name="DFAD">#N/A</definedName>
    <definedName name="dfag">#REF!</definedName>
    <definedName name="dfd">'[69]#REF!'!$AK$10:$AT$147</definedName>
    <definedName name="dfdf">#N/A</definedName>
    <definedName name="DFF">#N/A</definedName>
    <definedName name="dhd">[55]Competitors!$Q$1:$AA$176</definedName>
    <definedName name="DHL">'[12]#REF!'!$A$1:$M$95</definedName>
    <definedName name="dhl_disc">[47]Ref!$I$5:$I$397</definedName>
    <definedName name="DHL_D小货促销价">[29]D小货促销!$B$3:$F$3</definedName>
    <definedName name="DHL_MYDHL">[29]MYDHL!$A$3</definedName>
    <definedName name="DHL_操作要求及附加费相关规定">[70]国际快递规则!$B$83</definedName>
    <definedName name="DHL_深圳DHL欧洲促销价">[29]SZD欧洲促销价!$A$3</definedName>
    <definedName name="DHL_深圳D南美特惠">[29]SZD南美特惠!$A$3</definedName>
    <definedName name="DHL_香港DHL_E价">'[29]HKD-E价 '!$A$3</definedName>
    <definedName name="DHL_香港DHL_E价分区">'[29]香港DHL-E分区'!$A$2</definedName>
    <definedName name="DHL_香港DHL代理分区">[29]香港DHL代理分区!$A$2</definedName>
    <definedName name="DHL_香港DHL代理价">[29]HKD代理!$A$3</definedName>
    <definedName name="DHL_香港D澳新特价02_06">[29]HKD澳新!$A$3</definedName>
    <definedName name="DHL_香港D特惠价02_06">[29]HKD特惠!$A$3</definedName>
    <definedName name="DHL_香港D优惠价">[29]HKD优惠!$B$3:$O$3</definedName>
    <definedName name="DHLD">[71]Competitors!$K$12:$K$22</definedName>
    <definedName name="DHLNEW">[56]Competitors!$S$4:$Z$22</definedName>
    <definedName name="dhlnew1">#N/A</definedName>
    <definedName name="DHLOLD">[56]Competitors!$S$26:$Z$44</definedName>
    <definedName name="dhlold2">#N/A</definedName>
    <definedName name="dhlsd">#N/A</definedName>
    <definedName name="DHL分区表">'[12]#REF!'!$G$12:$G$22</definedName>
    <definedName name="DHL价格A">#REF!</definedName>
    <definedName name="DIRECTORY">'[45]#REF!'!$B$6</definedName>
    <definedName name="DISC">#REF!</definedName>
    <definedName name="Discount">#REF!</definedName>
    <definedName name="dishw">#REF!</definedName>
    <definedName name="disip">#REF!</definedName>
    <definedName name="disol">#REF!</definedName>
    <definedName name="dispak">#REF!</definedName>
    <definedName name="DIV">#REF!</definedName>
    <definedName name="Division">[35]control!$O$27:$O$28</definedName>
    <definedName name="dkjt">'[69]#REF!'!$A$1:$L$88</definedName>
    <definedName name="Docs">'[27]#REF!'!$B$10:$J$1014</definedName>
    <definedName name="DOM">#N/A</definedName>
    <definedName name="DOM_Contract_codes">#REF!</definedName>
    <definedName name="DOM_EMY">#N/A</definedName>
    <definedName name="DomesticExpress">#REF!</definedName>
    <definedName name="DomesticExpressDiscount">#REF!</definedName>
    <definedName name="DOT">[35]control!$L$27:$L$29</definedName>
    <definedName name="dox">'[27]#REF!'!$B$31:$J$39</definedName>
    <definedName name="DOX_Band">#REF!</definedName>
    <definedName name="DOX_EUROS">'[52]Breaks Euros'!$B$26:$K$45</definedName>
    <definedName name="DOX_GRAPHS">#REF!</definedName>
    <definedName name="DOX_MMS">#REF!</definedName>
    <definedName name="Dox_pivot_table">#REF!</definedName>
    <definedName name="DOX_Prdt">[47]Ref!$C$8:$C$10</definedName>
    <definedName name="DOX_Prices_PUB">#REF!</definedName>
    <definedName name="DOX0">#N/A</definedName>
    <definedName name="DOXACPS">#REF!</definedName>
    <definedName name="DOXB25">#N/A</definedName>
    <definedName name="DOXHWData">#N/A</definedName>
    <definedName name="DOXHWData8">#N/A</definedName>
    <definedName name="DOXIB">#N/A</definedName>
    <definedName name="DOXKGINP">#REF!</definedName>
    <definedName name="DOXOB">#N/A</definedName>
    <definedName name="doxx">#REF!</definedName>
    <definedName name="DPX">#REF!</definedName>
    <definedName name="DPXContract">#N/A</definedName>
    <definedName name="dsfd">#REF!</definedName>
    <definedName name="DTD_0.5_kg">#REF!</definedName>
    <definedName name="dte">'[69]#REF!'!$A$54</definedName>
    <definedName name="dted">'[72]#REF!'!$I$12:$I$22</definedName>
    <definedName name="dvcasg">[73]Competitors!$S$26:$Z$44</definedName>
    <definedName name="e">{"F3 detail",#N/A,FALSE,"F3 ";"F3 Presentation",#N/A,FALSE,"F3 "}</definedName>
    <definedName name="earningsexp99q3">#REF!</definedName>
    <definedName name="earningsexp99q3ytd">#REF!</definedName>
    <definedName name="earningsexpeur99q3">#REF!</definedName>
    <definedName name="earningsexpeur99q3ytd">#REF!</definedName>
    <definedName name="earningsexpint99q3">#REF!</definedName>
    <definedName name="earningsexpint99q3ytd">#REF!</definedName>
    <definedName name="earningslog99q3">#REF!</definedName>
    <definedName name="earningslog99q3ytd">#REF!</definedName>
    <definedName name="earningsmail00q1">'[42]Mail Division'!$A$2:$H$22</definedName>
    <definedName name="earningsmail99q3">#REF!</definedName>
    <definedName name="earningsmail99q3ytd">#REF!</definedName>
    <definedName name="Ecart">'[74]BASE GRAPHE'!#REF!</definedName>
    <definedName name="ECHART">[75]Competitors!$M$5:$M$10</definedName>
    <definedName name="ecx">#REF!</definedName>
    <definedName name="ECX_EUROS">'[52]Breaks Euros'!$B$3:$G$22</definedName>
    <definedName name="ECX_Prices_PUB">#REF!</definedName>
    <definedName name="ecxrates">'[76]ecx WB'!$C$30:$G$530</definedName>
    <definedName name="eexwzone">#REF!</definedName>
    <definedName name="efe">[77]Competitors!$B$71</definedName>
    <definedName name="EMN_kpi_margin">'[78]EMN KPI''s '!$D$24:$V$39</definedName>
    <definedName name="EMS">'[19]#REF!'!$D$709:$D$908</definedName>
    <definedName name="En_25">#REF!</definedName>
    <definedName name="En_47">#REF!</definedName>
    <definedName name="En_publish">#REF!</definedName>
    <definedName name="EndMonth">[28]TempVariables!$H$3</definedName>
    <definedName name="ENT">[50]List!$B$3</definedName>
    <definedName name="entities">'[19]#REF!'!$Q$11:$R$165</definedName>
    <definedName name="ENTITY">[79]Pov!$B$5</definedName>
    <definedName name="ENTLIST">'[45]#REF!'!$A$1:$A$670</definedName>
    <definedName name="Ep">#N/A</definedName>
    <definedName name="EPRATe">[80]RCprices!$CO$3:$CO$50,[80]RCprices!$CQ$3:$CQ$50,[80]RCprices!$CS$3:$CS$50,[80]RCprices!$CU$3:$CU$50</definedName>
    <definedName name="EPRATl">[80]RCprices!$CN$3:$CN$50,[80]RCprices!$CP$3:$CP$50,[80]RCprices!$CR$3:$CR$50,[80]RCprices!$CT$3:$CT$50</definedName>
    <definedName name="EPRCHe">[80]RCprices!$CY$3:$CY$50,[80]RCprices!$DA$3:$DA$50,[80]RCprices!$DC$3:$DC$50,[80]RCprices!$DE$3:$DE$50</definedName>
    <definedName name="EPRCHl">[80]RCprices!$CX$3:$CX$50,[80]RCprices!$CZ$3:$CZ$50,[80]RCprices!$DB$3:$DB$50,[80]RCprices!$DD$3:$DD$50</definedName>
    <definedName name="EPRCZe">[80]RCprices!$GA$3:$GA$50,[80]RCprices!$GC$3:$GC$50,[80]RCprices!$GE$3:$GE$50,[80]RCprices!$GG$3:$GG$50</definedName>
    <definedName name="EPRCZl">[80]RCprices!$FZ$3:$FZ$50,[80]RCprices!$GB$3:$GB$50,[80]RCprices!$GD$3:$GD$50,[80]RCprices!$GF$3:$GF$50</definedName>
    <definedName name="EPRDEe">[80]RCprices!$AG$3:$AG$50,[80]RCprices!$AI$3:$AI$50,[80]RCprices!$AK$3:$AK$50,[80]RCprices!$AM$3:$AM$50</definedName>
    <definedName name="EPRDEl">[80]RCprices!$AF$3:$AF$50,[80]RCprices!$AH$3:$AH$50,[80]RCprices!$AJ$3:$AJ$50,[80]RCprices!$AL$3:$AL$50</definedName>
    <definedName name="EPRDKe">[80]RCprices!$DI$3:$DI$50,[80]RCprices!$DK$3:$DK$50,[80]RCprices!$DM$3:$DM$50,[80]RCprices!$DO$3:$DO$50</definedName>
    <definedName name="EPRDKl">[80]RCprices!$DH$3:$DH$50,[80]RCprices!$DJ$3:$DJ$50,[80]RCprices!$DL$3:$DL$50,[80]RCprices!$DN$3:$DN$50</definedName>
    <definedName name="EPRESe">[80]RCprices!$BA$3:$BA$50,[80]RCprices!$BC$3:$BC$50,[80]RCprices!$BE$3:$BE$50,[80]RCprices!$BG$3:$BG$50</definedName>
    <definedName name="EPRESl">[80]RCprices!$AZ$3:$AZ$50,[80]RCprices!$BB$3:$BB$50,[80]RCprices!$BB$3,[80]RCprices!$BD$3:$BD$50,[80]RCprices!$BF$3:$BF$50</definedName>
    <definedName name="EPRFRNe">[80]RCprices!$M$3:$M$50,[80]RCprices!$O$3:$O$50,[80]RCprices!$Q$3:$Q$50,[80]RCprices!$S$3:$S$50</definedName>
    <definedName name="EPRFRNl">[80]RCprices!$L$3:$L$50,[80]RCprices!$N$3:$N$50,[80]RCprices!$P$3:$P$50,[80]RCprices!$R$3:$R$50</definedName>
    <definedName name="EPRFRSe">[80]RCprices!$W$3:$W$50,[80]RCprices!$Y$3:$Y$50,[80]RCprices!$AA$3:$AA$50,[80]RCprices!$AC$3:$AC$50</definedName>
    <definedName name="EPRFRSl">[80]RCprices!$V$3:$V$50,[80]RCprices!$X$3:$X$50,[80]RCprices!$Z$3:$Z$50,[80]RCprices!$AB$3:$AB$50</definedName>
    <definedName name="EPRIEe">[80]RCprices!$CE$3:$CE$50,[80]RCprices!$CG$3:$CG$50,[80]RCprices!$CI$3:$CI$50,[80]RCprices!$CK$3:$CK$50</definedName>
    <definedName name="EPRIEl">[80]RCprices!$CD$3:$CD$50,[80]RCprices!$CF$3:$CF$50,[80]RCprices!$CH$3:$CH$50,[80]RCprices!$CJ$3:$CJ$50</definedName>
    <definedName name="EPRITe">[80]RCprices!$AQ$3:$AQ$50,[80]RCprices!$AS$3:$AS$50,[80]RCprices!$AU$3:$AU$50,[80]RCprices!$AW$3:$AW$50</definedName>
    <definedName name="EPRITl">[80]RCprices!$AP$3:$AP$50,[80]RCprices!$AR$3:$AR$50,[80]RCprices!$AT$3:$AT$50,[80]RCprices!$AV$3:$AV$50</definedName>
    <definedName name="EPRNLe">[80]RCprices!$C$3:$C$50,[80]RCprices!$E$3:$E$50,[80]RCprices!$G$3:$G$50,[80]RCprices!$I$3:$I$50</definedName>
    <definedName name="EPRNLl">[80]RCprices!$B$3:$B$50,[80]RCprices!$D$3:$D$50,[80]RCprices!$F$3:$F$50,[80]RCprices!$H$3:$H$50</definedName>
    <definedName name="EPRNONe">[80]RCprices!$EW$3:$EW$50,[80]RCprices!$EY$3:$EY$50,[80]RCprices!$FA$3:$FA$50,[80]RCprices!$FC$3:$FC$50</definedName>
    <definedName name="EPRNONl">[80]RCprices!$EV$3:$EV$50,[80]RCprices!$EX$3:$EX$50,[80]RCprices!$EZ$3:$EZ$50,[80]RCprices!$FB$3:$FB$50</definedName>
    <definedName name="EPRNOSe">[80]RCprices!$EM$3:$EM$50,[80]RCprices!$EO$3:$EO$50,[80]RCprices!$EQ$3:$EQ$50,[80]RCprices!$ES$3:$ES$50</definedName>
    <definedName name="EPRNOSl">[80]RCprices!$EL$3:$EL$50,[80]RCprices!$EN$3:$EN$50,[80]RCprices!$EP$3:$EP$50,[80]RCprices!$ER$3:$ER$50</definedName>
    <definedName name="EPRPLe">[80]RCprices!$FQ$3:$FQ$50,[80]RCprices!$FS$3:$FS$50,[80]RCprices!$FU$3:$FU$50,[80]RCprices!$FW$3:$FW$50</definedName>
    <definedName name="EPRPLl">[80]RCprices!$FP$3:$FP$50,[80]RCprices!$FR$3:$FR$50,[80]RCprices!$FT$3:$FT$50,[80]RCprices!$FV$3:$FV$50</definedName>
    <definedName name="EPRPTe">[80]RCprices!$BK$3:$BK$50,[80]RCprices!$BM$3:$BM$50,[80]RCprices!$BO$3:$BO$50,[80]RCprices!$BQ$3:$BQ$50</definedName>
    <definedName name="EPRPTl">[80]RCprices!$BJ$3:$BJ$50,[80]RCprices!$BL$3:$BL$50,[80]RCprices!$BN$3:$BN$50,[80]RCprices!$BP$3:$BP$50</definedName>
    <definedName name="EPRSEe">[80]RCprices!$FG$3:$FG$50,[80]RCprices!$FI$3:$FI$50,[80]RCprices!$FK$3:$FK$50,[80]RCprices!$FM$3:$FM$50</definedName>
    <definedName name="EPRSEl">[80]RCprices!$FF$3:$FF$50,[80]RCprices!$FH$3:$FH$50,[80]RCprices!$FJ$3:$FJ$50,[80]RCprices!$FL$3:$FL$50</definedName>
    <definedName name="EPRSFNe">[80]RCprices!$EC$3:$EC$50,[80]RCprices!$EE$3:$EE$50,[80]RCprices!$EG$3:$EG$50,[80]RCprices!$EI$3:$EI$50</definedName>
    <definedName name="EPRSFNl">[80]RCprices!$EB$3:$EB$50,[80]RCprices!$ED$3:$ED$50,[80]RCprices!$EF$3:$EF$50,[80]RCprices!$EH$3:$EH$50</definedName>
    <definedName name="EPRSFSe">[80]RCprices!$DS$3:$DS$50,[80]RCprices!$DU$3:$DU$50,[80]RCprices!$DW$3:$DW$50,[80]RCprices!$DY$3:$DY$50</definedName>
    <definedName name="EPRSFSl">[80]RCprices!$DR$3:$DR$50,[80]RCprices!$DT$3:$DT$50,[80]RCprices!$DV$3:$DV$50,[80]RCprices!$DX$3:$DX$50</definedName>
    <definedName name="EPRUKe">[80]RCprices!$BU$3:$BU$50,[80]RCprices!$BW$3:$BW$50,[80]RCprices!$BY$3:$BY$50,[80]RCprices!$CA$3:$CA$50</definedName>
    <definedName name="EPRUKl">[80]RCprices!$BT$3:$BT$50,[80]RCprices!$BV$3:$BV$50,[80]RCprices!$BX$3:$BX$50,[80]RCprices!$BZ$3:$BZ$50</definedName>
    <definedName name="ES">[75]Competitors!$B$5:$B$10</definedName>
    <definedName name="etit">[77]Competitors!$B$79</definedName>
    <definedName name="eur">'[81]#REF!'!$A$1</definedName>
    <definedName name="EuropackInternational">#REF!</definedName>
    <definedName name="EuropackInternationalDiscount">#REF!</definedName>
    <definedName name="Europlus_Benelux_Pallet">#REF!</definedName>
    <definedName name="Europlus_Benelux_Parcel">#REF!</definedName>
    <definedName name="Europlus_INT">#REF!</definedName>
    <definedName name="EuroplusBeneluxPallet">#REF!</definedName>
    <definedName name="EuroplusBeneluxPalletDiscount">#REF!</definedName>
    <definedName name="EuroplusBeneluxParcel">#REF!</definedName>
    <definedName name="EuroplusBeneluxParcelDiscount">#REF!</definedName>
    <definedName name="EuroplusInternational">#REF!</definedName>
    <definedName name="EuroplusInternationalDiscount">#REF!</definedName>
    <definedName name="EV__EXPOPTIONS__">0</definedName>
    <definedName name="EV__LASTREFTIME__">38364.4125925926</definedName>
    <definedName name="EV__MAXEXPCOLS__">100</definedName>
    <definedName name="EV__MAXEXPROWS__">1000</definedName>
    <definedName name="EV__MEMORYCVW__">0</definedName>
    <definedName name="EV__WBEVMODE__">0</definedName>
    <definedName name="EV__WBREFOPTIONS__">134217728</definedName>
    <definedName name="EV__WBVERSION__">0</definedName>
    <definedName name="Excel_BuiltIn_Print_Titles_2_1">#REF!</definedName>
    <definedName name="Excel_BuiltIn_Print_Titles_3_1">#REF!</definedName>
    <definedName name="Excel_BuiltIn_Print_Titles_4_1">#REF!</definedName>
    <definedName name="exch_date">#REF!</definedName>
    <definedName name="exch_rate">#REF!</definedName>
    <definedName name="Exchange_Rate">[82]Parameter!$B$10</definedName>
    <definedName name="ExDocDisc">[34]Discounts!$D$15:$Q$15,[34]Discounts!$S$15:$T$15</definedName>
    <definedName name="ExNDocDisc">[34]Discounts!$D$16:$Q$16,[34]Discounts!$S$16:$T$16,[34]Discounts!$D$22:$M$22,[34]Discounts!$O$22:$P$22,[34]Discounts!$T$22:$T$22</definedName>
    <definedName name="expd">#REF!</definedName>
    <definedName name="expdzone">#REF!</definedName>
    <definedName name="Expiration_Date">#REF!</definedName>
    <definedName name="expr">#REF!</definedName>
    <definedName name="Express12">#REF!</definedName>
    <definedName name="Express12Discount">#REF!</definedName>
    <definedName name="Express9">#REF!</definedName>
    <definedName name="Express9Discount">#REF!</definedName>
    <definedName name="Expresser_Benelux_Pallet">#REF!</definedName>
    <definedName name="Expresser_Benelux_Parcel">#REF!</definedName>
    <definedName name="ExpresserBeneluxPallet">#REF!</definedName>
    <definedName name="ExpresserBeneluxPalletDiscount">#REF!</definedName>
    <definedName name="ExpresserBeneluxParcel">#REF!</definedName>
    <definedName name="ExpresserBeneluxParcelDiscount">#REF!</definedName>
    <definedName name="ExpressWorldwide">#REF!</definedName>
    <definedName name="ExpressWorldwideDiscount">#REF!</definedName>
    <definedName name="exprzone">#REF!</definedName>
    <definedName name="Expt638">#REF!</definedName>
    <definedName name="ExptPrepaid">'[83]Expt Disc prepaid'!#REF!</definedName>
    <definedName name="f">#N/A</definedName>
    <definedName name="F_25">#REF!</definedName>
    <definedName name="F_47">#REF!</definedName>
    <definedName name="F_publish">#REF!</definedName>
    <definedName name="F1_Details">'[84]F2'!$M$40</definedName>
    <definedName name="F1_Presentation">'[84]F2'!$A$1:$O$56</definedName>
    <definedName name="factor">'[85]FX06 - FX07 factor'!$A$8:$E$69</definedName>
    <definedName name="fas">'[32]#REF!'!$I$12:$I$22</definedName>
    <definedName name="FC">#REF!</definedName>
    <definedName name="fd">'[69]#REF!'!$BH$6:$BL$13</definedName>
    <definedName name="fdf">[77]Competitors!$S$92:$AA$110</definedName>
    <definedName name="FDX">[28]Request!$A$50</definedName>
    <definedName name="FDX_Shpmts">[28]Request!$P$52</definedName>
    <definedName name="FED_大陆联邦IE_A价">'[29]CN联邦IE-A价'!$B$3:$F$3</definedName>
    <definedName name="FED_大陆联邦IP_A价">'[29]CN联邦IP-A价'!$B$3:$F$3</definedName>
    <definedName name="FED_深圳联邦IE_D价_材积_5000">'[29]SZ联邦IE-D价'!$B$3:$C$3</definedName>
    <definedName name="FED_深圳联邦IP_C价_材积_5000_非当天航班">'[29]SZ联邦IP-C价'!$B$3:$C$3</definedName>
    <definedName name="FED_香港FEDEX_IE代理价">'[29]HKF-IE代理 '!$A$3</definedName>
    <definedName name="FED_香港FedEx_IE价">[29]HK联邦IE价!$B$3:$H$3</definedName>
    <definedName name="FED_香港联邦IE代理分区">'[29]香港联邦-IE代理分区'!$A$3</definedName>
    <definedName name="FED_香港联邦IP代理分区">'[29]香港联邦-IP代理分区'!$A$3</definedName>
    <definedName name="FED_香港联邦IP代理价">'[29]HKF-IP代理'!$A$3</definedName>
    <definedName name="FEDEX">#REF!</definedName>
    <definedName name="FedEx_WPX">#REF!</definedName>
    <definedName name="FedEx_操作要求及附加费相关规定">[70]国际快递规则!$B$133</definedName>
    <definedName name="fer">'[69]#REF!'!$A$180</definedName>
    <definedName name="fet">[77]Competitors!$B$83</definedName>
    <definedName name="ff">#REF!</definedName>
    <definedName name="FFR">#REF!</definedName>
    <definedName name="fgsfg">[37]HKG!$F$92</definedName>
    <definedName name="fhoaiyfe">#REF!</definedName>
    <definedName name="Fid">'[46]#REF!'!$C$74:$E$82</definedName>
    <definedName name="FILENAME">'[45]#REF!'!$B$7</definedName>
    <definedName name="finaltdd12">'[76]adjusted tdd12 rates '!$B$25:$F$526</definedName>
    <definedName name="finaltdd9">'[76]adjusted tdd9 rates'!$B$25:$F$526</definedName>
    <definedName name="Financial_Data_Actual">'[19]#REF!'!$A$1:$N$77</definedName>
    <definedName name="Flete">#REF!</definedName>
    <definedName name="formula">#REF!</definedName>
    <definedName name="FR">{#N/A,#N/A,FALSE,"FRANCE MONTH DETAIL  FFR";#N/A,#N/A,FALSE,"FRANCE MONTH DETAIL  NLG";#N/A,#N/A,FALSE,"FRANCE YTD  DETAIL FFR";#N/A,#N/A,FALSE,"FRANCE YTD  DETAIL NLG"}</definedName>
    <definedName name="FREQUENCY">[50]List!$B$8</definedName>
    <definedName name="FRT">'[19]#REF!'!$D$281:$D$419</definedName>
    <definedName name="FS_PUB">#REF!</definedName>
    <definedName name="FSCA">#REF!</definedName>
    <definedName name="FSCA3RD">#REF!</definedName>
    <definedName name="FSCR">'[86]Fuel Surcharge'!$L$18</definedName>
    <definedName name="FUEL">[87]Start!$J$6</definedName>
    <definedName name="FXShpQ">[28]Request!$L$52</definedName>
    <definedName name="g">#N/A</definedName>
    <definedName name="GFSDFAG">#N/A</definedName>
    <definedName name="GG">'[88]#REF!'!$A$16:$D$24</definedName>
    <definedName name="GLO">'[19]#REF!'!$D$7:$D$277</definedName>
    <definedName name="GLOBAL1">'[19]#REF!'!$C$11:$S$164</definedName>
    <definedName name="GLOBAL2">'[19]#REF!'!$A$11:$S$164</definedName>
    <definedName name="goodwill">'[89]Goodwill, non-rec.'!#REF!</definedName>
    <definedName name="GOTO_CCC">#REF!</definedName>
    <definedName name="GOTO_CCD">#REF!</definedName>
    <definedName name="GOTO_CDG">#REF!</definedName>
    <definedName name="GOTO_CMC">#REF!</definedName>
    <definedName name="GOTO_CPDG">[56]Competitors!$A$25</definedName>
    <definedName name="GOTO_CPwg">[56]Competitors!$A$54</definedName>
    <definedName name="GOTO_CRC">#REF!</definedName>
    <definedName name="GOTO_CWG">#REF!</definedName>
    <definedName name="GOTO_DESTINATIO">[56]Competitors!$B$83</definedName>
    <definedName name="GOTO_DHLNEW">[56]Competitors!$B$71</definedName>
    <definedName name="GOTO_DHLOLD">[56]Competitors!$B$73</definedName>
    <definedName name="GOTO_FEDEX">[56]Competitors!$B$79</definedName>
    <definedName name="GOTO_NCC">#REF!</definedName>
    <definedName name="GOTO_NCD">#REF!</definedName>
    <definedName name="GOTO_NDG">#REF!</definedName>
    <definedName name="GOTO_NMC">#REF!</definedName>
    <definedName name="GOTO_NRC">#REF!</definedName>
    <definedName name="GOTO_OTHER">[56]Competitors!$B$81</definedName>
    <definedName name="GOTO_PRINTMENU">#REF!</definedName>
    <definedName name="GOTO_TNT">[56]Competitors!$B$77</definedName>
    <definedName name="GOTO_UPS">[56]Competitors!$B$75</definedName>
    <definedName name="GR">[75]Competitors!$K$5:$K$10</definedName>
    <definedName name="GRAPH">[75]Competitors!$B$5:$B$10</definedName>
    <definedName name="GRD">[75]Competitors!$K$12:$K$22</definedName>
    <definedName name="GroundWB">'[90]Customer Info'!$Y$20:$AB$26</definedName>
    <definedName name="GrpExcl_ll">[28]TempVariables!$D$2</definedName>
    <definedName name="GrpExcl_ul">[28]TempVariables!$E$2</definedName>
    <definedName name="GrpIncl_ll">[28]TempVariables!$B$2</definedName>
    <definedName name="GrpIncl_ul">[28]TempVariables!$C$2</definedName>
    <definedName name="h">#N/A</definedName>
    <definedName name="HEADCOUNT1">'[19]#REF!'!$C$11:$S$174</definedName>
    <definedName name="HEADCOUNT2">'[19]#REF!'!$A$11:$S$174</definedName>
    <definedName name="Header">'[83]Expt Disc prepaid'!#REF!</definedName>
    <definedName name="headerA">[91]Setup!$I$5</definedName>
    <definedName name="headerB">'[91]EXP EUR DIS'!$B$5</definedName>
    <definedName name="hg">'[12]#REF!'!$A$1:$Y$63</definedName>
    <definedName name="hhh">'[69]#REF!'!$A$180</definedName>
    <definedName name="Hide_Zones">[92]Zones!$C$1</definedName>
    <definedName name="hj">'[12]#REF!'!$C$78</definedName>
    <definedName name="HKC02_D">#REF!</definedName>
    <definedName name="HKC02_W">#REF!</definedName>
    <definedName name="HKC03_D">#REF!</definedName>
    <definedName name="HKC03_W">#REF!</definedName>
    <definedName name="HKC04_D">#REF!</definedName>
    <definedName name="HKC04_W">#REF!</definedName>
    <definedName name="HKGCO">[56]Competitors!$AF$114:$AM$132</definedName>
    <definedName name="hkh">'[69]#REF!'!$A$140</definedName>
    <definedName name="HKUPS">[75]Competitors!$K$12:$K$22</definedName>
    <definedName name="home">[28]Request!$B$17</definedName>
    <definedName name="HTYPE">#REF!</definedName>
    <definedName name="HU国际">10%</definedName>
    <definedName name="i">#N/A</definedName>
    <definedName name="iata">'[93]NBA 1'!#REF!</definedName>
    <definedName name="iata_lu">'[12]#REF!'!$I$48:$J$282</definedName>
    <definedName name="iata_to_country">#REF!</definedName>
    <definedName name="IB_Contract_codes">#REF!</definedName>
    <definedName name="IBEuroplus_Benelux_palletBREAKS">#REF!</definedName>
    <definedName name="IBEuroplus_Benelux_palletSTARTBREAK">#REF!</definedName>
    <definedName name="IBEuroplus_BeneluxBREAKS">#REF!</definedName>
    <definedName name="IBEuroplus_BeneluxSTARTBREAK">#REF!</definedName>
    <definedName name="IBEuroplus_DOMBREAKS">#REF!</definedName>
    <definedName name="IBEuroplus_DOMSTARTBREAK">#REF!</definedName>
    <definedName name="IBPolicy">#REF!</definedName>
    <definedName name="ie_lu">'[12]#REF!'!$I$12:$M$19</definedName>
    <definedName name="iii">'[69]#REF!'!$A$99</definedName>
    <definedName name="ImDocDisc">[34]Discounts!$D$29,[34]Discounts!$F$29:$Q$29,[34]Discounts!$T$29</definedName>
    <definedName name="IMListRates">#REF!</definedName>
    <definedName name="ImNDocDisc">[34]Discounts!$D$30:$D$30,[34]Discounts!$F$30:$Q$30,[34]Discounts!$T$30:$T$30,[34]Discounts!$D$36:$D$36,[34]Discounts!$F$36:$M$36,[34]Discounts!$O$36:$P$36,[34]Discounts!$T$36:$T$36</definedName>
    <definedName name="IMP">'[12]#REF!'!$AD$128:$AO$146</definedName>
    <definedName name="imp_contract">#N/A</definedName>
    <definedName name="IMP_DOX">#REF!</definedName>
    <definedName name="IMP_rates">'[94]Weight Break Charges'!#REF!</definedName>
    <definedName name="IMP_WPX">#REF!</definedName>
    <definedName name="IMP30319CONSO">'[19]#REF!'!$C$1</definedName>
    <definedName name="IMPB25">#N/A</definedName>
    <definedName name="IMPHWData8">#N/A</definedName>
    <definedName name="Import">[28]Request!$Q$33</definedName>
    <definedName name="Import_Pricing">#REF!</definedName>
    <definedName name="ImportExpress12">#REF!</definedName>
    <definedName name="ImportExpress12Discount">#REF!</definedName>
    <definedName name="ImportExpress9">#REF!</definedName>
    <definedName name="ImportExpress9Discount">#REF!</definedName>
    <definedName name="ImportExpressTC">#REF!</definedName>
    <definedName name="ImportExpressTCDiscount">#REF!</definedName>
    <definedName name="ImportExpressWorldwide">#REF!</definedName>
    <definedName name="ImportExpressWorldwideDiscount">#REF!</definedName>
    <definedName name="IMPRESULTDIV">'[19]#REF!'!$B$1</definedName>
    <definedName name="Impt_Inbnd">[28]Request!$L$33</definedName>
    <definedName name="ImptCheck">[28]Request!$Q$19</definedName>
    <definedName name="Inbound">[28]Request!$P$33</definedName>
    <definedName name="Inbound_Pricing">#REF!</definedName>
    <definedName name="Income_Statement_Overview_TNT_Post_Group____m">'[42]Income Statement'!$A$2:$H$47</definedName>
    <definedName name="Incremental_Only">[28]Request!$Q$32</definedName>
    <definedName name="index">'[95]TPG Key figures'!$D$26:$D$102,'[95]TPG Key figures'!$F$26:$F$103,'[95]TPG Key figures'!$P$26:$P$104,'[95]TPG Key figures'!$R$26:$R$105,'[95]TPG Key figures'!$W$26:$W$106,'[95]TPG Key figures'!$Y$26:$Y$105</definedName>
    <definedName name="Inflation_and_Exchange_RateMekko0">#REF!</definedName>
    <definedName name="INTADDER">[82]Parameter!$B$21</definedName>
    <definedName name="INTADDER2">[82]Parameter!$B$22</definedName>
    <definedName name="INTADDER3">[82]Parameter!$B$23</definedName>
    <definedName name="INTADDER4">[82]Parameter!$B$24</definedName>
    <definedName name="Intbegin">[96]RANGELOOKUP!$J$3</definedName>
    <definedName name="Intend">[96]RANGELOOKUP!$K$3</definedName>
    <definedName name="INTSTART">[82]Parameter!$B$20</definedName>
    <definedName name="IP_per_kilo">#REF!</definedName>
    <definedName name="ip_rates">#REF!</definedName>
    <definedName name="ipdispk">#REF!</definedName>
    <definedName name="ippkwb">#REF!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"c2108"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"c2106"</definedName>
    <definedName name="IQ_DIV_RECORD_DATE">"c2105"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EST">"c1681"</definedName>
    <definedName name="IQ_EBIT_HIGH_EST">"c1683"</definedName>
    <definedName name="IQ_EBIT_INT">"c360"</definedName>
    <definedName name="IQ_EBIT_LOW_EST">"c1684"</definedName>
    <definedName name="IQ_EBIT_MARGIN">"c359"</definedName>
    <definedName name="IQ_EBIT_MEDIAN_EST">"c1682"</definedName>
    <definedName name="IQ_EBIT_NUM_EST">"c1685"</definedName>
    <definedName name="IQ_EBIT_OVER_IE">"c1369"</definedName>
    <definedName name="IQ_EBIT_STDDEV_EST">"c1686"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EST">"c369"</definedName>
    <definedName name="IQ_EBITDA_HIGH_EST">"c370"</definedName>
    <definedName name="IQ_EBITDA_INT">"c373"</definedName>
    <definedName name="IQ_EBITDA_LOW_EST">"c371"</definedName>
    <definedName name="IQ_EBITDA_MARGIN">"c372"</definedName>
    <definedName name="IQ_EBITDA_MEDIAN_EST">"c1663"</definedName>
    <definedName name="IQ_EBITDA_NUM_EST">"c374"</definedName>
    <definedName name="IQ_EBITDA_OVER_TOTAL_IE">"c1371"</definedName>
    <definedName name="IQ_EBITDA_STDDEV_EST">"c375"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PS_GW_EST">"c1737"</definedName>
    <definedName name="IQ_EPS_GW_HIGH_EST">"c1739"</definedName>
    <definedName name="IQ_EPS_GW_LOW_EST">"c1740"</definedName>
    <definedName name="IQ_EPS_GW_MEDIAN_EST">"c1738"</definedName>
    <definedName name="IQ_EPS_GW_NUM_EST">"c1741"</definedName>
    <definedName name="IQ_EPS_GW_STDDEV_EST">"c1742"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REPORTED_EST">"c1744"</definedName>
    <definedName name="IQ_EPS_REPORTED_HIGH_EST">"c1746"</definedName>
    <definedName name="IQ_EPS_REPORTED_LOW_EST">"c1747"</definedName>
    <definedName name="IQ_EPS_REPORTED_MEDIAN_EST">"c1745"</definedName>
    <definedName name="IQ_EPS_REPORTED_NUM_EST">"c1748"</definedName>
    <definedName name="IQ_EPS_REPORTED_STDDEV_EST">"c1749"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REPORTED">"c1750"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>"c2140"</definedName>
    <definedName name="IQ_EST_DATE">"c1634"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>"c1636"</definedName>
    <definedName name="IQ_EST_EPS_GROWTH_2YR">"c1637"</definedName>
    <definedName name="IQ_EST_EPS_GROWTH_5YR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STDDEV">"c1660"</definedName>
    <definedName name="IQ_EST_EPS_GROWTH_Q_1YR">"c1641"</definedName>
    <definedName name="IQ_EST_EPS_GW_DIFF">"c1891"</definedName>
    <definedName name="IQ_EST_EPS_GW_SURPRISE_PERCENT">"c1892"</definedName>
    <definedName name="IQ_EST_EPS_REPORT_DIFF">"c1893"</definedName>
    <definedName name="IQ_EST_EPS_REPORT_SURPRISE_PERCENT">"c1894"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FO">"c1574"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STDDEV_EST">"c422"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_TARGET_PRICE">"c1651"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_TARGET_PRICE">"c1652"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MACHINERY">"c711"</definedName>
    <definedName name="IQ_MAINT_REPAIR">"c2087"</definedName>
    <definedName name="IQ_MARKETCAP">"c712"</definedName>
    <definedName name="IQ_MEDIAN_TARGET_PRICE">"c1650"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>"c794"</definedName>
    <definedName name="IQ_NI_MEDIAN_EST">"c1717"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FAS">"c795"</definedName>
    <definedName name="IQ_NI_STDDEV_EST">"c1721"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EST">"c1688"</definedName>
    <definedName name="IQ_OPER_INC_FIN">"c851"</definedName>
    <definedName name="IQ_OPER_INC_HIGH_EST">"c1690"</definedName>
    <definedName name="IQ_OPER_INC_INS">"c852"</definedName>
    <definedName name="IQ_OPER_INC_LOW_EST">"c1691"</definedName>
    <definedName name="IQ_OPER_INC_MARGIN">"c1448"</definedName>
    <definedName name="IQ_OPER_INC_MEDIAN_EST">"c1689"</definedName>
    <definedName name="IQ_OPER_INC_NUM_EST">"c1692"</definedName>
    <definedName name="IQ_OPER_INC_REIT">"c853"</definedName>
    <definedName name="IQ_OPER_INC_STDDEV_EST">"c1693"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G_FWD">"c1863"</definedName>
    <definedName name="IQ_PENSION">"c1031"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OTENTIAL_UPSIDE">"c1855"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STDDEV_EST">"c1124"</definedName>
    <definedName name="IQ_REV_UTI">"c1125"</definedName>
    <definedName name="IQ_REVENUE">"c1422"</definedName>
    <definedName name="IQ_REVENUE_EST">"c1126"</definedName>
    <definedName name="IQ_REVENUE_HIGH_EST">"c1127"</definedName>
    <definedName name="IQ_REVENUE_LOW_EST">"c1128"</definedName>
    <definedName name="IQ_REVENUE_MEDIAN_EST">"c1662"</definedName>
    <definedName name="IQ_REVENUE_NUM_EST">"c1129"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RGET_PRICE_NUM">"c1653"</definedName>
    <definedName name="IQ_TARGET_PRICE_STDDEV">"c1654"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XDIV_DATE">"c2104"</definedName>
    <definedName name="IQ_YEARHIGH">"c1337"</definedName>
    <definedName name="IQ_YEARLOW">"c1338"</definedName>
    <definedName name="IQ_YTD">3000</definedName>
    <definedName name="IQ_Z_SCORE">"c1339"</definedName>
    <definedName name="ixpd">'[97]i zone'!$G$2:$J$52</definedName>
    <definedName name="ixpr">'[97]i zone'!$A$2:$D$161</definedName>
    <definedName name="IZ">#REF!</definedName>
    <definedName name="jjjj">'[69]#REF!'!$A$54</definedName>
    <definedName name="JK">'[12]#REF!'!$C$78</definedName>
    <definedName name="JUNK">#N/A</definedName>
    <definedName name="KATHY">#REF!</definedName>
    <definedName name="kdjkt">'[69]#REF!'!$BN$6:$BV$17</definedName>
    <definedName name="Kg_Apprv_Dt">#REF!</definedName>
    <definedName name="Kg_APPS_Chk">'[28]Shipments - kg'!$A$1138</definedName>
    <definedName name="Kg_AWPS_Chk">'[28]Shipments - kg'!$A$1117</definedName>
    <definedName name="Kg_Cntry_Disct">'[28]Discounts - kg'!$AB$108</definedName>
    <definedName name="kg_Disc_Edit_Check">#REF!</definedName>
    <definedName name="Kg_Discts">'[28]Discounts - kg'!$16:$98</definedName>
    <definedName name="Kg_Dsc_Cntry">'[28]Discounts - kg'!$1:$15</definedName>
    <definedName name="Kg_Dsc_IE_Cur_Disct">'[28]Discounts - kg'!$68:$75</definedName>
    <definedName name="Kg_Dsc_IE_Hdr">'[28]Discounts - kg'!$60:$62</definedName>
    <definedName name="Kg_Dsc_IE_Min_Hdr">'[28]Discounts - kg'!$63:$64</definedName>
    <definedName name="Kg_Dsc_IE_Min_IE">'[28]Discounts - kg'!$65:$65</definedName>
    <definedName name="Kg_Dsc_IE_Min_IEF">'[28]Discounts - kg'!$66:$67</definedName>
    <definedName name="Kg_Dsc_IE_Pct_Disct">'[28]Discounts - kg'!$76:$92</definedName>
    <definedName name="Kg_Dsc_IEF_Pct_Disct">'[28]Discounts - kg'!$93:$99</definedName>
    <definedName name="Kg_Dsc_IP_Cur_Disct">'[28]Discounts - kg'!$25:$31</definedName>
    <definedName name="Kg_Dsc_IP_Hdr">'[28]Discounts - kg'!$16:$17</definedName>
    <definedName name="Kg_Dsc_IP_Min_Hdr">'[28]Discounts - kg'!$18:$19</definedName>
    <definedName name="Kg_Dsc_IP_Min_IP">'[28]Discounts - kg'!$20:$22</definedName>
    <definedName name="Kg_Dsc_IP_Min_IPF">'[28]Discounts - kg'!$23:$24</definedName>
    <definedName name="Kg_Dsc_IP_Pct_Disct">'[28]Discounts - kg'!$32:$50</definedName>
    <definedName name="Kg_Dsc_IPF_Pct_Disct">'[28]Discounts - kg'!$51:$59</definedName>
    <definedName name="Kg_Dsc_Origin_Cntry">'[28]Discounts - kg'!$B$7:$AA$7</definedName>
    <definedName name="Kg_Incr_Shp_IE">'[28]Shipments - kg'!$A$162</definedName>
    <definedName name="Kg_Incr_Shp_IEF">'[28]Shipments - kg'!$A$163</definedName>
    <definedName name="Kg_Incr_Shp_IP">'[28]Shipments - kg'!$A$160</definedName>
    <definedName name="Kg_Incr_Shp_IPF">'[28]Shipments - kg'!$A$161</definedName>
    <definedName name="Kg_Rng_Cur_Disct_IE">'[28]Discounts - kg'!$B$72:$AA$74</definedName>
    <definedName name="Kg_Rng_Cur_Disct_IP">'[28]Discounts - kg'!$B$26:$AA$30</definedName>
    <definedName name="Kg_Rng_Disct_IE">'[28]Discounts - kg'!$B$78:$AA$84</definedName>
    <definedName name="Kg_Rng_Disct_IEF">'[28]Discounts - kg'!$B$94:$AA$98</definedName>
    <definedName name="Kg_Rng_Disct_IEHW">'[28]Discounts - kg'!$B$87:$AA$91</definedName>
    <definedName name="Kg_Rng_Disct_IP">'[28]Discounts - kg'!$B$34:$AA$42</definedName>
    <definedName name="Kg_Rng_Disct_IPF">'[28]Discounts - kg'!$B$52:$AA$56</definedName>
    <definedName name="Kg_Rng_Disct_IPHW">'[28]Discounts - kg'!$B$45:$AA$49</definedName>
    <definedName name="Kg_Rng_Disct_Min_IE">'[28]Discounts - kg'!$B$65:$AA$66</definedName>
    <definedName name="Kg_Rng_Disct_Min_IP">'[28]Discounts - kg'!$B$20:$AA$23</definedName>
    <definedName name="Kg_Rng_Shpmts_APPS_IE">'[28]Shipments - kg'!$C$119:$AB$129</definedName>
    <definedName name="Kg_Rng_Shpmts_APPS_IEF">'[28]Shipments - kg'!$C$131:$AB$135</definedName>
    <definedName name="Kg_Rng_Shpmts_APPS_IP">'[28]Shipments - kg'!$C$53:$AB$63</definedName>
    <definedName name="Kg_Rng_Shpmts_APPS_IPF">'[28]Shipments - kg'!$C$65:$AB$69</definedName>
    <definedName name="Kg_Rng_Shpmts_AWPS_IE">'[28]Shipments - kg'!$C$99:$AB$109</definedName>
    <definedName name="Kg_Rng_Shpmts_AWPS_IEF">'[28]Shipments - kg'!$C$111:$AB$115</definedName>
    <definedName name="Kg_Rng_Shpmts_AWPS_IP">'[28]Shipments - kg'!$C$34:$AB$44</definedName>
    <definedName name="Kg_Rng_Shpmts_AWPS_IPF">'[28]Shipments - kg'!$C$46:$AB$50</definedName>
    <definedName name="Kg_Rng_Shpmts_Incr_IE">'[28]Shipments - kg'!$C$75:$AB$86</definedName>
    <definedName name="Kg_Rng_Shpmts_Incr_IEF">'[28]Shipments - kg'!$C$88:$AB$92</definedName>
    <definedName name="Kg_Rng_Shpmts_Incr_IP">'[28]Shipments - kg'!$C$10:$AB$23</definedName>
    <definedName name="Kg_Rng_Shpmts_Incr_IPF">'[28]Shipments - kg'!$C$25:$AB$29</definedName>
    <definedName name="Kg_Shp_Cntry">'[28]Shipments - kg'!$1:$8</definedName>
    <definedName name="Kg_Shp_IE_APPS">'[28]Shipments - kg'!$117:$129</definedName>
    <definedName name="Kg_Shp_IE_AWPS">'[28]Shipments - kg'!$97:$109</definedName>
    <definedName name="Kg_Shp_IE_Incr">'[28]Shipments - kg'!$72:$86</definedName>
    <definedName name="Kg_Shp_IE_Tot">'[28]Shipments - kg'!$93:$96</definedName>
    <definedName name="Kg_Shp_IEF_APPS">'[28]Shipments - kg'!$130:$136</definedName>
    <definedName name="Kg_Shp_IEF_APPS_Hdr">'[28]Shipments - kg'!$117:$118</definedName>
    <definedName name="Kg_Shp_IEF_AWPS">'[28]Shipments - kg'!$110:$116</definedName>
    <definedName name="Kg_Shp_IEF_AWPS_Hdr">'[28]Shipments - kg'!$97:$98</definedName>
    <definedName name="Kg_Shp_IEF_Incr">'[28]Shipments - kg'!$87:$92</definedName>
    <definedName name="Kg_Shp_IEF_Incr_Hdr">'[28]Shipments - kg'!$72:$73</definedName>
    <definedName name="Kg_Shp_IP_APPS">'[28]Shipments - kg'!$51:$63</definedName>
    <definedName name="Kg_Shp_IP_AWPS">'[28]Shipments - kg'!$33:$44</definedName>
    <definedName name="Kg_Shp_IP_Incr">'[28]Shipments - kg'!$9:$23</definedName>
    <definedName name="Kg_Shp_IP_Tot">'[28]Shipments - kg'!$30:$32</definedName>
    <definedName name="Kg_Shp_IPF_APPS">'[28]Shipments - kg'!$64:$71</definedName>
    <definedName name="Kg_Shp_IPF_APPS_Hdr">'[28]Shipments - kg'!$51:$52</definedName>
    <definedName name="Kg_Shp_IPF_AWPS">'[28]Shipments - kg'!$45:$50</definedName>
    <definedName name="Kg_Shp_IPF_AWPS_Hdr">'[28]Shipments - kg'!$33:$33</definedName>
    <definedName name="Kg_Shp_IPF_Incr">'[28]Shipments - kg'!$24:$29</definedName>
    <definedName name="Kg_Shp_IPF_Incr_Hdr">'[28]Shipments - kg'!$9:$9</definedName>
    <definedName name="Kg_Shp_Origin_Cntry">'[28]Shipments - kg'!$C$6:$AB$6</definedName>
    <definedName name="Kg_Shpmt_Cntry">'[28]Shipments - kg'!$AD$140</definedName>
    <definedName name="Kg_Shpmt_Disct">'[28]Discounts - kg'!$A$200</definedName>
    <definedName name="Kg_Shpmts">'[28]Shipments - kg'!$9:$135</definedName>
    <definedName name="Kg_Shpmts_AWPS_Reset">'[28]Shipments - kg'!$A$500</definedName>
    <definedName name="Kg_Shpmts_AWPS_Reset1">'[28]Shipments - kg'!$A$501</definedName>
    <definedName name="Kilo">#REF!</definedName>
    <definedName name="Kilograms">[28]Request!$P$25</definedName>
    <definedName name="kjfkd">'[69]#REF!'!$G$10:$O$147</definedName>
    <definedName name="KQ肯尼亚航空">'[98]#REF!'!$A$16:$D$24</definedName>
    <definedName name="KRexportzone">'[99]Printed material'!#REF!</definedName>
    <definedName name="kukuk">'[69]#REF!'!$A$1</definedName>
    <definedName name="kykyk">[77]Competitors!$B$81</definedName>
    <definedName name="l">#N/A</definedName>
    <definedName name="Label">[100]L!$C$2:$D$9</definedName>
    <definedName name="LABEL1">#REF!</definedName>
    <definedName name="LABEL2">#REF!</definedName>
    <definedName name="LASTMTHYEAR">#REF!</definedName>
    <definedName name="Lb_Apprv_Dt">'[28]Approved Discts-lb'!$F$3</definedName>
    <definedName name="Lb_APPS_Chk">'[28]Shipments - lb'!$A$1138</definedName>
    <definedName name="Lb_AWPS_Chk">'[28]Shipments - lb'!$A$1117</definedName>
    <definedName name="Lb_Cntry_Disct">'[28]Discounts - lb'!$AB$108</definedName>
    <definedName name="lb_Disc_Edit_Check">'[28]Approved Discts-lb'!$AF$259</definedName>
    <definedName name="Lb_Discts">'[28]Discounts - lb'!$16:$98</definedName>
    <definedName name="Lb_Dsc_Cntry">'[28]Discounts - lb'!$1:$15</definedName>
    <definedName name="Lb_Dsc_IE_Cur_Disct">'[28]Discounts - lb'!$68:$75</definedName>
    <definedName name="Lb_Dsc_IE_Hdr">'[28]Discounts - lb'!$60:$62</definedName>
    <definedName name="Lb_Dsc_IE_Min_Hdr">'[28]Discounts - lb'!$63:$64</definedName>
    <definedName name="Lb_Dsc_IE_Min_IE">'[28]Discounts - lb'!$65:$65</definedName>
    <definedName name="Lb_Dsc_IE_Min_IEF">'[28]Discounts - lb'!$66:$67</definedName>
    <definedName name="Lb_Dsc_IE_Pct_Disct">'[28]Discounts - lb'!$76:$92</definedName>
    <definedName name="Lb_Dsc_IEF_Pct_Disct">'[28]Discounts - lb'!$93:$99</definedName>
    <definedName name="Lb_Dsc_IEF8">'[28]Discounts - lb'!$94:$94</definedName>
    <definedName name="Lb_Dsc_IP_Cur_Disct">'[28]Discounts - lb'!$25:$31</definedName>
    <definedName name="Lb_Dsc_IP_Hdr">'[28]Discounts - lb'!$16:$17</definedName>
    <definedName name="Lb_Dsc_IP_Min_Hdr">'[28]Discounts - lb'!$18:$19</definedName>
    <definedName name="Lb_Dsc_IP_Min_IP">'[28]Discounts - lb'!$20:$22</definedName>
    <definedName name="Lb_Dsc_IP_Min_IPF">'[28]Discounts - lb'!$23:$24</definedName>
    <definedName name="Lb_Dsc_IP_Pct_Disct">'[28]Discounts - lb'!$32:$50</definedName>
    <definedName name="Lb_Dsc_IPF_Pct_Disct">'[28]Discounts - lb'!$51:$59</definedName>
    <definedName name="Lb_Dsc_IPF8">'[28]Discounts - lb'!$52:$52</definedName>
    <definedName name="Lb_Dsc_Origin_Cntry">'[28]Discounts - lb'!$B$7:$AA$7</definedName>
    <definedName name="Lb_Incr_Shp_IE">'[28]Shipments - lb'!$A$162</definedName>
    <definedName name="Lb_Incr_Shp_IEF">'[28]Shipments - lb'!$A$163</definedName>
    <definedName name="Lb_Incr_Shp_IP">'[28]Shipments - lb'!$A$160</definedName>
    <definedName name="Lb_Incr_Shp_IPF">'[28]Shipments - lb'!$A$161</definedName>
    <definedName name="Lb_Rng_Cur_Disct_IE">'[28]Discounts - lb'!$B$72:$AA$74</definedName>
    <definedName name="Lb_Rng_Cur_Disct_IP">'[28]Discounts - lb'!$B$26:$AA$30</definedName>
    <definedName name="Lb_Rng_Disct_IE">'[28]Discounts - lb'!$B$78:$AA$84</definedName>
    <definedName name="Lb_Rng_Disct_IEF">'[28]Discounts - lb'!$B$94:$AA$98</definedName>
    <definedName name="Lb_Rng_Disct_IEHW">'[28]Discounts - lb'!$B$87:$AA$91</definedName>
    <definedName name="Lb_Rng_Disct_IP">'[28]Discounts - lb'!$B$34:$AA$42</definedName>
    <definedName name="Lb_Rng_Disct_IPF">'[28]Discounts - lb'!$B$52:$AA$56</definedName>
    <definedName name="Lb_Rng_Disct_IPHW">'[28]Discounts - lb'!$B$45:$AA$49</definedName>
    <definedName name="Lb_Rng_Disct_Min_IE">'[28]Discounts - lb'!$B$65:$AA$66</definedName>
    <definedName name="Lb_Rng_Disct_Min_IP">'[28]Discounts - lb'!$B$20:$AA$23</definedName>
    <definedName name="Lb_Rng_Shpmts_APPS_IE">'[28]Shipments - lb'!$C$119:$AB$129</definedName>
    <definedName name="Lb_Rng_Shpmts_APPS_IEF">'[28]Shipments - lb'!$C$131:$AB$135</definedName>
    <definedName name="Lb_Rng_Shpmts_APPS_IP">'[28]Shipments - lb'!$C$53:$AB$63</definedName>
    <definedName name="Lb_Rng_Shpmts_APPS_IPF">'[28]Shipments - lb'!$C$65:$AB$69</definedName>
    <definedName name="Lb_Rng_Shpmts_AWPS_IE">'[28]Shipments - lb'!$C$99:$AB$109</definedName>
    <definedName name="Lb_Rng_Shpmts_AWPS_IEF">'[28]Shipments - lb'!$C$111:$AB$115</definedName>
    <definedName name="Lb_Rng_Shpmts_AWPS_IP">'[28]Shipments - lb'!$C$34:$AB$44</definedName>
    <definedName name="Lb_Rng_Shpmts_AWPS_IPF">'[28]Shipments - lb'!$C$46:$AB$50</definedName>
    <definedName name="Lb_Rng_Shpmts_Incr_IE">'[28]Shipments - lb'!$C$75:$AB$86</definedName>
    <definedName name="Lb_Rng_Shpmts_Incr_IEF">'[28]Shipments - lb'!$C$88:$AB$92</definedName>
    <definedName name="Lb_Rng_Shpmts_Incr_IP">'[28]Shipments - lb'!$C$10:$AB$23</definedName>
    <definedName name="Lb_Rng_Shpmts_Incr_IPF">'[28]Shipments - lb'!$C$25:$AB$29</definedName>
    <definedName name="Lb_Shp_Cntry">'[28]Shipments - lb'!$1:$8</definedName>
    <definedName name="Lb_Shp_IE_APPS">'[28]Shipments - lb'!$117:$129</definedName>
    <definedName name="Lb_Shp_IE_AWPS">'[28]Shipments - lb'!$97:$109</definedName>
    <definedName name="Lb_Shp_IE_Incr">'[28]Shipments - lb'!$72:$86</definedName>
    <definedName name="Lb_Shp_IE_Tot">'[28]Shipments - lb'!$93:$96</definedName>
    <definedName name="Lb_Shp_IEF_APPS">'[28]Shipments - lb'!$130:$136</definedName>
    <definedName name="Lb_Shp_IEF_APPS_Hdr">'[28]Shipments - lb'!$117:$118</definedName>
    <definedName name="Lb_Shp_IEF_AWPS">'[28]Shipments - lb'!$110:$116</definedName>
    <definedName name="Lb_Shp_IEF_AWPS_Hdr">'[28]Shipments - lb'!$97:$98</definedName>
    <definedName name="Lb_Shp_IEF_Incr">'[28]Shipments - lb'!$87:$92</definedName>
    <definedName name="Lb_Shp_IEF_Incr_Hdr">'[28]Shipments - lb'!$72:$73</definedName>
    <definedName name="Lb_Shp_IEF8_APPS">'[28]Shipments - lb'!$131:$131</definedName>
    <definedName name="Lb_Shp_IEF8_AWPS">'[28]Shipments - lb'!$111:$111</definedName>
    <definedName name="Lb_Shp_IEF8_Incr">'[28]Shipments - lb'!$88:$88</definedName>
    <definedName name="Lb_Shp_IP_APPS">'[28]Shipments - lb'!$51:$63</definedName>
    <definedName name="Lb_Shp_IP_AWPS">'[28]Shipments - lb'!$33:$44</definedName>
    <definedName name="Lb_Shp_IP_Incr">'[28]Shipments - lb'!$9:$23</definedName>
    <definedName name="Lb_Shp_IP_Tot">'[28]Shipments - lb'!$30:$32</definedName>
    <definedName name="Lb_Shp_IPF_APPS">'[28]Shipments - lb'!$64:$71</definedName>
    <definedName name="Lb_Shp_IPF_APPS_Hdr">'[28]Shipments - lb'!$51:$52</definedName>
    <definedName name="Lb_Shp_IPF_AWPS">'[28]Shipments - lb'!$45:$50</definedName>
    <definedName name="Lb_Shp_IPF_AWPS_Hdr">'[28]Shipments - lb'!$33:$33</definedName>
    <definedName name="Lb_Shp_IPF_Incr">'[28]Shipments - lb'!$24:$29</definedName>
    <definedName name="Lb_Shp_IPF_Incr_Hdr">'[28]Shipments - lb'!$9:$9</definedName>
    <definedName name="Lb_Shp_IPF8_APPS">'[28]Shipments - lb'!$65:$65</definedName>
    <definedName name="Lb_Shp_IPF8_AWPS">'[28]Shipments - lb'!$46:$46</definedName>
    <definedName name="Lb_Shp_IPF8_Incr">'[28]Shipments - lb'!$25:$25</definedName>
    <definedName name="Lb_Shp_Origin_Cntry">'[28]Shipments - lb'!$C$6:$AB$6</definedName>
    <definedName name="Lb_Shpmt_Cntry">'[28]Shipments - lb'!$AD$140</definedName>
    <definedName name="Lb_Shpmt_Disct">'[28]Discounts - lb'!$A$200</definedName>
    <definedName name="Lb_Shpmts">'[28]Shipments - lb'!$9:$135</definedName>
    <definedName name="Lb_Shpmts_AWPS_Reset">'[28]Shipments - lb'!$A$500</definedName>
    <definedName name="Lb_Shpmts_AWPS_Reset1">'[28]Shipments - lb'!$A$501</definedName>
    <definedName name="LECTEURMONTHLY">#REF!</definedName>
    <definedName name="LH">#REF!</definedName>
    <definedName name="LHANALYSIS">'[19]#REF!'!$B$76:$O$101</definedName>
    <definedName name="lieyin">[4]Competitors!$E$5:$E$10</definedName>
    <definedName name="LIGNEDEBUT">#REF!</definedName>
    <definedName name="LIGNEFIN">#REF!</definedName>
    <definedName name="LIGNEPL">#REF!</definedName>
    <definedName name="LIST">#REF!</definedName>
    <definedName name="Local_Currency">#REF!</definedName>
    <definedName name="LocalAccts">[28]TempVariables!$F$2</definedName>
    <definedName name="Locations">[28]Request!$C$124</definedName>
    <definedName name="LOOKUP">'[27]#REF!'!$D$1:$X$1171</definedName>
    <definedName name="LR_WPX">'[32]#REF!'!$Z$20:$AI$28</definedName>
    <definedName name="m">#N/A</definedName>
    <definedName name="MAILFAST1">'[19]#REF!'!$C$11:$S$147</definedName>
    <definedName name="MAILFAST2">'[19]#REF!'!$A$11:$S$147</definedName>
    <definedName name="MailvolumesNetherlands">'[42]Mail Division'!$A$60:$G$69</definedName>
    <definedName name="MAINMENU">#REF!</definedName>
    <definedName name="Major_Origin_Cities">[28]Request!$E$124</definedName>
    <definedName name="majoraccount_wso">'[49]-&gt; EDV Budget'!$C$34:$N$35</definedName>
    <definedName name="MARKETING_CODE">'[65]Marketing Code'!$C$2:$C$11</definedName>
    <definedName name="MATRIX">[14]Competitors!$CG$2:$CH$12</definedName>
    <definedName name="MBG">[28]Request!$G$42</definedName>
    <definedName name="MBG_NotReq">[28]Request!$P$44</definedName>
    <definedName name="MBG_Option">[28]Request!$M$44</definedName>
    <definedName name="MBG_Req">[28]Request!$Q$44</definedName>
    <definedName name="me_regio_uc">'[101]ME uninvoiced cons'!#REF!</definedName>
    <definedName name="MENU">#REF!</definedName>
    <definedName name="MF">'[19]#REF!'!$D$1166:$D$1351</definedName>
    <definedName name="MINTABLE">[90]SURCHARGES!$H$9:$U$15</definedName>
    <definedName name="mnth">[91]Setup!$D$5</definedName>
    <definedName name="mnthb">[102]Setup!$D$5</definedName>
    <definedName name="ModelDate">[28]Request!$K$1</definedName>
    <definedName name="MOISBUD">#REF!</definedName>
    <definedName name="MOISN_1">#REF!</definedName>
    <definedName name="monat">[49]Tool!$J$3</definedName>
    <definedName name="Month">[103]Sheet4!$B$2:$C$14</definedName>
    <definedName name="MONTHNAME">[104]MENU!$M$7</definedName>
    <definedName name="Months">'[19]#REF!'!$F$11:$F$23</definedName>
    <definedName name="MONTHYEAR">#REF!</definedName>
    <definedName name="mrgdox">#REF!</definedName>
    <definedName name="mrgwpx">#REF!</definedName>
    <definedName name="mrgzone">#REF!</definedName>
    <definedName name="msc_dock">'[12]#REF!'!$E$2</definedName>
    <definedName name="msc_lu">'[12]#REF!'!$A$2:$B$93</definedName>
    <definedName name="n">#N/A</definedName>
    <definedName name="N_COLBUDSE3">#REF!</definedName>
    <definedName name="N_COSTCARD">#REF!</definedName>
    <definedName name="N_COSTDATA">#REF!</definedName>
    <definedName name="N_DOXGRAPH">#REF!</definedName>
    <definedName name="N_MARGINCARD">#REF!</definedName>
    <definedName name="N_RATECARD">#REF!</definedName>
    <definedName name="name">[105]list!$A$1:$B$226</definedName>
    <definedName name="Names">[106]Names!$A$2:$B$1370</definedName>
    <definedName name="NAT">'[19]#REF!'!$D$423:$D$510</definedName>
    <definedName name="NATIONAL1">'[19]#REF!'!$C$11:$S$81</definedName>
    <definedName name="NATIONAL2">'[19]#REF!'!$A$11:$S$81</definedName>
    <definedName name="NatlAccts">[28]TempVariables!$A$2</definedName>
    <definedName name="NC_WPX">#REF!</definedName>
    <definedName name="NDAAll">'[90]Customer Info'!$V$9</definedName>
    <definedName name="NETEMS">'[19]#REF!'!$D$1614</definedName>
    <definedName name="NETEMS1">'[19]#REF!'!$L$271</definedName>
    <definedName name="NETEMS2">'[19]#REF!'!$O$271</definedName>
    <definedName name="NETEMS3">#REF!</definedName>
    <definedName name="NETEMS4">#REF!</definedName>
    <definedName name="NEW_CARD">#REF!</definedName>
    <definedName name="NEW_CARD_VS_OLD">'[56]New card vs old'!$A$1:$Y$63</definedName>
    <definedName name="NewcardvsOld">'[56]New card vs old'!$A$1:$Y$63</definedName>
    <definedName name="NewDOX">#REF!</definedName>
    <definedName name="NEWPLFILENAME">#REF!</definedName>
    <definedName name="NewRates">#REF!</definedName>
    <definedName name="NewWPX">#REF!</definedName>
    <definedName name="NLG">#REF!</definedName>
    <definedName name="NLGCURRENCY">#REF!</definedName>
    <definedName name="nnnn">'[69]#REF!'!$B$55</definedName>
    <definedName name="NOMCHAMP">#REF!</definedName>
    <definedName name="Non_recurring_costs">'[42]Goodwill, non-rec.'!$B$26:$G$35</definedName>
    <definedName name="NONDIV1">'[19]#REF!'!$C$11:$S$271</definedName>
    <definedName name="NONDIV2">'[19]#REF!'!$A$11:$S$271</definedName>
    <definedName name="NONDIVEMS">'[19]#REF!'!$A$11:$S$271</definedName>
    <definedName name="NONDIVFR">'[19]#REF!'!$A$11:$S$271</definedName>
    <definedName name="NONDIVSERO">'[19]#REF!'!$A$11:$S$271</definedName>
    <definedName name="num_reg">#REF!</definedName>
    <definedName name="NZD">#REF!</definedName>
    <definedName name="OB_Contract_Codes">#REF!</definedName>
    <definedName name="OB_Costs">#REF!</definedName>
    <definedName name="OB_DOX">#REF!</definedName>
    <definedName name="OB_WPX">#REF!</definedName>
    <definedName name="OBBusinesspaket_InternationalBREAKS">#REF!</definedName>
    <definedName name="OBBusinesspaket_InternationalSTARTBREAK">#REF!</definedName>
    <definedName name="OBContractRates">[14]Competitors!$A$4:$Q$400</definedName>
    <definedName name="OBDay_Definite_DomesticBREAKS">#REF!</definedName>
    <definedName name="OBDay_Definite_DomesticSTARTBREAK">#REF!</definedName>
    <definedName name="obdox">#REF!</definedName>
    <definedName name="OBEuropack_NationalBREAKS">#REF!</definedName>
    <definedName name="OBEuropack_NationalSTARTBREAK">#REF!</definedName>
    <definedName name="OBEuroplus_Benelux_monocolloBREAKS">#REF!</definedName>
    <definedName name="OBEuroplus_Benelux_monocolloSTARTBREAK">#REF!</definedName>
    <definedName name="OBEuroplus_Benelux_palletBREAKS">#REF!</definedName>
    <definedName name="OBEuroplus_Benelux_palletSTARTBREAK">#REF!</definedName>
    <definedName name="OBEuroplus_BeneluxBREAKS">#REF!</definedName>
    <definedName name="OBEuroplus_BeneluxSTARTBREAK">#REF!</definedName>
    <definedName name="OBEuroplus_DOM_10BREAKS">#REF!</definedName>
    <definedName name="OBEuroplus_DOM_10STARTBREAK">#REF!</definedName>
    <definedName name="OBEuroplus_DOM_12BREAKS">#REF!</definedName>
    <definedName name="OBEuroplus_DOM_12STARTBREAK">#REF!</definedName>
    <definedName name="OBEuroplus_DOM_SATBREAKS">#REF!</definedName>
    <definedName name="OBEuroplus_DOM_SATSTARTBREAK">#REF!</definedName>
    <definedName name="OBEuroplus_DOMBREAKS">#REF!</definedName>
    <definedName name="OBEuroplus_DOMSTARTBREAK">#REF!</definedName>
    <definedName name="OBEuroplus_InternationalBREAKS">[82]RANGELOOKUP!$F$7</definedName>
    <definedName name="OBMidDay_DOMBREAKS">[107]RANGELOOKUP!$F$20</definedName>
    <definedName name="OBPolicy">#REF!</definedName>
    <definedName name="OBSpecial">'[108]Approved Discts-lb'!$A$4:$A$9</definedName>
    <definedName name="OBStartDay_DOMBREAKS">[107]RANGELOOKUP!$F$24</definedName>
    <definedName name="obwpx">#REF!</definedName>
    <definedName name="Old_Payor_No">[28]Request!$E$56</definedName>
    <definedName name="Old_Shipper_No">[28]Request!$E$54</definedName>
    <definedName name="OLDDOXACPS">#REF!</definedName>
    <definedName name="OLDWPXACPS">#REF!</definedName>
    <definedName name="Op_Months">'[28]Shipments - current'!$B$1</definedName>
    <definedName name="Op_Scenario">[28]Request!$P$74</definedName>
    <definedName name="operexpenses99q3">#REF!</definedName>
    <definedName name="OpQ">[28]Request!$L$74</definedName>
    <definedName name="OptionType">[35]control!$F$27:$F$29</definedName>
    <definedName name="Orig_Region_1">[28]Request!$A$125</definedName>
    <definedName name="Orig_Region_10">[28]Request!$A$134</definedName>
    <definedName name="Orig_Region_11">[28]Request!$A$135</definedName>
    <definedName name="Orig_Region_12">[28]Request!$A$136</definedName>
    <definedName name="Orig_Region_13">[28]Request!$A$137</definedName>
    <definedName name="Orig_Region_14">[28]Request!$A$138</definedName>
    <definedName name="Orig_Region_15">[28]Request!$A$139</definedName>
    <definedName name="Orig_Region_16">[28]Request!$A$140</definedName>
    <definedName name="Orig_Region_17">[28]Request!$A$141</definedName>
    <definedName name="Orig_Region_18">[28]Request!$A$142</definedName>
    <definedName name="Orig_Region_19">[28]Request!$A$143</definedName>
    <definedName name="Orig_Region_2">[28]Request!$A$126</definedName>
    <definedName name="Orig_Region_20">[28]Request!$A$144</definedName>
    <definedName name="Orig_Region_21">[28]Request!$A$145</definedName>
    <definedName name="Orig_Region_22">[28]Request!$A$146</definedName>
    <definedName name="Orig_Region_23">[28]Request!$A$147</definedName>
    <definedName name="Orig_Region_24">[28]Request!$A$148</definedName>
    <definedName name="Orig_Region_25">[28]Request!$A$149</definedName>
    <definedName name="Orig_Region_26">[28]Request!$A$150</definedName>
    <definedName name="Orig_Region_3">[28]Request!$A$127</definedName>
    <definedName name="Orig_Region_4">[28]Request!$A$128</definedName>
    <definedName name="Orig_Region_5">[28]Request!$A$129</definedName>
    <definedName name="Orig_Region_6">[28]Request!$A$130</definedName>
    <definedName name="Orig_Region_7">[28]Request!$A$131</definedName>
    <definedName name="Orig_Region_8">[28]Request!$A$132</definedName>
    <definedName name="Orig_Region_9">[28]Request!$A$133</definedName>
    <definedName name="Orig1">[28]Request!$L$125</definedName>
    <definedName name="Orig10">[28]Request!$L$134</definedName>
    <definedName name="Orig11">[28]Request!$L$135</definedName>
    <definedName name="Orig12">[28]Request!$L$136</definedName>
    <definedName name="Orig13">[28]Request!$L$137</definedName>
    <definedName name="Orig14">[28]Request!$L$138</definedName>
    <definedName name="Orig15">[28]Request!$L$139</definedName>
    <definedName name="Orig16">[28]Request!$L$140</definedName>
    <definedName name="Orig17">[28]Request!$L$141</definedName>
    <definedName name="Orig18">[28]Request!$L$142</definedName>
    <definedName name="Orig19">[28]Request!$L$143</definedName>
    <definedName name="Orig2">[28]Request!$L$126</definedName>
    <definedName name="Orig20">[28]Request!$L$144</definedName>
    <definedName name="Orig21">[28]Request!$L$145</definedName>
    <definedName name="Orig22">[28]Request!$L$146</definedName>
    <definedName name="Orig23">[28]Request!$L$147</definedName>
    <definedName name="Orig24">[28]Request!$L$148</definedName>
    <definedName name="Orig25">[28]Request!$L$149</definedName>
    <definedName name="Orig26">[28]Request!$L$150</definedName>
    <definedName name="Orig3">[28]Request!$L$127</definedName>
    <definedName name="Orig4">[28]Request!$L$128</definedName>
    <definedName name="Orig5">[28]Request!$L$129</definedName>
    <definedName name="Orig6">[28]Request!$L$130</definedName>
    <definedName name="Orig7">[28]Request!$L$131</definedName>
    <definedName name="Orig8">[28]Request!$L$132</definedName>
    <definedName name="Orig9">[28]Request!$L$133</definedName>
    <definedName name="Origin">[28]Request!$B$124</definedName>
    <definedName name="Origin_Countries">[28]Request!$L$125:$L$150</definedName>
    <definedName name="Origin_Country_Code">[28]Countries!$G$4:$H$224</definedName>
    <definedName name="Origin_Country_Name_Code">[28]Countries!$B$4:$C$224</definedName>
    <definedName name="Origin_Scenario">[28]Request!$E$76</definedName>
    <definedName name="OSA">#REF!</definedName>
    <definedName name="OTHER">[56]Competitors!$S$114:$AB$132</definedName>
    <definedName name="Other1_WPX">#REF!</definedName>
    <definedName name="Other2_WPX">#REF!</definedName>
    <definedName name="OTHINCUR">#REF!</definedName>
    <definedName name="outlook">'[58]#REF!'!$A$3:$H$42</definedName>
    <definedName name="P_COMPETITORS1">#REF!</definedName>
    <definedName name="P_COMPETITORS2">#REF!</definedName>
    <definedName name="P_CONTRACT_RATE">#REF!</definedName>
    <definedName name="P_CURRENT_CARD">#REF!</definedName>
    <definedName name="P_DOX_GRAPHS">#REF!</definedName>
    <definedName name="P_NEW_CARD">#REF!</definedName>
    <definedName name="P_PRISMDATA">#REF!</definedName>
    <definedName name="P_RATE_TABLES">#REF!</definedName>
    <definedName name="P_WPX_GRAPHS">#REF!</definedName>
    <definedName name="P_ZONES">#REF!</definedName>
    <definedName name="Pack_25">#REF!</definedName>
    <definedName name="Pack_47">#REF!</definedName>
    <definedName name="Pack_publish">#REF!</definedName>
    <definedName name="PAGE">#REF!</definedName>
    <definedName name="PAGE1">#REF!</definedName>
    <definedName name="PAK_per_kilo">#REF!</definedName>
    <definedName name="pak_rates">#REF!</definedName>
    <definedName name="Parcels">'[27]#REF!'!$M$10:$U$2014</definedName>
    <definedName name="Parcels1">[109]LOOKUP!$N$10:$W$4014</definedName>
    <definedName name="Password">[28]TempVariables!$O$3</definedName>
    <definedName name="PATH30319PDX">#REF!</definedName>
    <definedName name="PATHBUDGET">#REF!</definedName>
    <definedName name="PATHCONSWGT">#REF!</definedName>
    <definedName name="PATHCTRLTOTAL">#REF!</definedName>
    <definedName name="PATHRBUDGET">#REF!</definedName>
    <definedName name="PATHSE3BUDGET">#REF!</definedName>
    <definedName name="Payor_Acct1">[28]Request!$I$23</definedName>
    <definedName name="Payor_Acct2">[28]Request!$I$25</definedName>
    <definedName name="Payor_Acct3">[28]Request!$I$27</definedName>
    <definedName name="Payor_Country">[28]Request!$M$19</definedName>
    <definedName name="Payor_Table">[28]Countries!$HI$4:$HR$101</definedName>
    <definedName name="PayorRgn">[28]Request!$P$15</definedName>
    <definedName name="PDIVISIONS">#REF!</definedName>
    <definedName name="PDIVISIONS1">#REF!</definedName>
    <definedName name="Pdt">#N/A</definedName>
    <definedName name="pdt_type">[47]Ref!$C$5:$C$9</definedName>
    <definedName name="PEM4.">#REF!</definedName>
    <definedName name="PERIOD">[110]POV!$B$4</definedName>
    <definedName name="PERIODVALUE">#REF!</definedName>
    <definedName name="PERIODYEAR">#REF!</definedName>
    <definedName name="PERLIST">'[45]#REF!'!$A$1:$A$12</definedName>
    <definedName name="PERRESULT">[50]List!$B$312</definedName>
    <definedName name="perSumE">'[45]#REF!'!$B$25:$G$37</definedName>
    <definedName name="perSumEbit">'[45]#REF!'!$K$25:$T$37</definedName>
    <definedName name="perSumR">'[45]#REF!'!$B$7:$G$19</definedName>
    <definedName name="perSumRev">'[45]#REF!'!$K$7:$T$19</definedName>
    <definedName name="Pickup_Location">#REF!</definedName>
    <definedName name="Piece">#REF!</definedName>
    <definedName name="pkdispk">#REF!</definedName>
    <definedName name="pkpkwb">#REF!</definedName>
    <definedName name="PNH">#REF!</definedName>
    <definedName name="PNL_MONTH_FFR">'[111]#REF!'!$A$1:$M$47</definedName>
    <definedName name="PNL_MONTH_NLG">'[111]#REF!'!$A$1:$M$45</definedName>
    <definedName name="PNL_YTD_FFR">'[111]#REF!'!$A$1:$O$45</definedName>
    <definedName name="PNL_YTD_NLG">'[111]#REF!'!$A$1:$M$45</definedName>
    <definedName name="pov_upload_cat">[112]POV!$K$11</definedName>
    <definedName name="PPL">'[46]#REF!'!$C$27:$D$34</definedName>
    <definedName name="prczone">#REF!</definedName>
    <definedName name="PRI">#REF!</definedName>
    <definedName name="PRICES_PUB">#REF!</definedName>
    <definedName name="Pricing_Requested">[28]Request!$A$33</definedName>
    <definedName name="PRINT">#N/A</definedName>
    <definedName name="_xlnm.Print_Area">'[67]#REF!'!$A$1:$K$67</definedName>
    <definedName name="Print_Area_MI">#REF!</definedName>
    <definedName name="PRINT_B">#N/A</definedName>
    <definedName name="print_co">#REF!</definedName>
    <definedName name="print_csl">#REF!</definedName>
    <definedName name="print_gi">#REF!</definedName>
    <definedName name="print_in">#REF!</definedName>
    <definedName name="print_rof">#REF!</definedName>
    <definedName name="print_sc">#REF!</definedName>
    <definedName name="print_tar">#REF!</definedName>
    <definedName name="Print_tariff">#REF!</definedName>
    <definedName name="_xlnm.Print_Titles">'[113]#REF!'!$1:$7</definedName>
    <definedName name="PRINT_TITLES_MI">'[113]#REF!'!$1:$7</definedName>
    <definedName name="print_zo">#REF!</definedName>
    <definedName name="PRINT1">#REF!</definedName>
    <definedName name="PRINT2">#REF!</definedName>
    <definedName name="print——b">#N/A</definedName>
    <definedName name="PRINTYOY">#REF!</definedName>
    <definedName name="PRISM_DATA">#REF!</definedName>
    <definedName name="PRISMDATA">#REF!</definedName>
    <definedName name="prods">#REF!</definedName>
    <definedName name="Product">[35]control!$N$27:$N$38</definedName>
    <definedName name="Productline">#REF!</definedName>
    <definedName name="Property">'[46]#REF!'!$C$5:$D$11</definedName>
    <definedName name="Proposed_Revenue">#REF!</definedName>
    <definedName name="Provinces_Cities">[28]Request!$E$125:$E$150</definedName>
    <definedName name="QQ群">[114]Code!$A:$A,[114]Code!$C:$C</definedName>
    <definedName name="quartal">[49]Tool!$J$25</definedName>
    <definedName name="r_obdox">#N/A</definedName>
    <definedName name="r_obdox_S">#N/A</definedName>
    <definedName name="r_obwpx">#N/A</definedName>
    <definedName name="r_obwpx_S">#N/A</definedName>
    <definedName name="Range1">#REF!</definedName>
    <definedName name="RATE">#REF!</definedName>
    <definedName name="Rate_10">#REF!</definedName>
    <definedName name="Rate_20">#REF!</definedName>
    <definedName name="Rate_30">#REF!</definedName>
    <definedName name="Rate_40">#REF!</definedName>
    <definedName name="Rate_50">#REF!</definedName>
    <definedName name="RATE_TABLES">#REF!</definedName>
    <definedName name="rates">'[85]Current CL 2006 rates @ FX06'!$A$7:$D$66</definedName>
    <definedName name="ref">'[59]Customer Distribution List'!$O$4:$O$25,'[59]Customer Distribution List'!$W$4:$W$25</definedName>
    <definedName name="Regio_s_Actual">'[19]#REF!'!$A$1:$N$77</definedName>
    <definedName name="Region">[28]Request!$O$16</definedName>
    <definedName name="Region_Rev">[28]Request!$E$112:$E$116</definedName>
    <definedName name="REGOFFNONDIV">'[19]#REF!'!$F$132:$S$134</definedName>
    <definedName name="RESULTATNET">#REF!</definedName>
    <definedName name="RESULTATNET1">'[19]#REF!'!$O$271</definedName>
    <definedName name="REV">#REF!</definedName>
    <definedName name="REV_MONTH_FFR">'[111]#REF!'!$A$1:$R$25</definedName>
    <definedName name="REV_MONTH_NLG">'[111]#REF!'!$A$1:$R$25</definedName>
    <definedName name="REV_YTD_FFR">'[111]#REF!'!$A$1:$R$25</definedName>
    <definedName name="REV_YTD_NLG">'[111]#REF!'!$A$1:$R$25</definedName>
    <definedName name="revearningsMEL">'[42]Rev in %'!$A$4:$F$35</definedName>
    <definedName name="Revenues_and_volumes_Domestic_and_Direct_Mail">'[42]Mail Division'!$A$25:$G$57</definedName>
    <definedName name="RevenuesEarningsMail00q1ytd">'[42]Mail Division'!$A$2:$H$22</definedName>
    <definedName name="reverse">'[45]#REF!'!$D$30:$D$40,'[45]#REF!'!$F$30:$F$40,'[45]#REF!'!$P$30:$P$40,'[45]#REF!'!$R$30:$R$40,'[45]#REF!'!$W$30:$W$40,'[45]#REF!'!$Y$30:$Y$40,'[45]#REF!'!$D$42,'[45]#REF!'!$F$42,'[45]#REF!'!$P$42,'[45]#REF!'!$R$42,'[45]#REF!'!$W$42,'[45]#REF!'!$Y$42,'[45]#REF!'!$D$47:$D$51,'[45]#REF!'!$F$47:$F$51,'[45]#REF!'!$P$47:$P$51,'[45]#REF!'!$R$47:$R$51,'[45]#REF!'!$W$47:$W$51,'[45]#REF!'!$Y$47:$Y$51,'[45]#REF!'!$D$55:$D$56,'[45]#REF!'!$F$55:$F$56,'[45]#REF!'!$P$55:$P$56,'[45]#REF!'!$R$55:$R$56</definedName>
    <definedName name="revexp99q3">#REF!</definedName>
    <definedName name="revexp99q3ytd">#REF!</definedName>
    <definedName name="revexpeur99q3">#REF!</definedName>
    <definedName name="revexpeur99q3ytd">#REF!</definedName>
    <definedName name="revexpint99q3">#REF!</definedName>
    <definedName name="revexpintq399ytd">#REF!</definedName>
    <definedName name="reviewedtdd12">'[76]adjusted tdd12 rates '!$A$6:$F$23</definedName>
    <definedName name="reviewedtdd9">'[76]adjusted tdd9 rates'!$A$6:$F$23</definedName>
    <definedName name="revlog99q3">#REF!</definedName>
    <definedName name="revlog99q3ytd">#REF!</definedName>
    <definedName name="revmail99q3">#REF!</definedName>
    <definedName name="revmail99q3ytd">#REF!</definedName>
    <definedName name="rgc_lu">'[12]#REF!'!$I$2:$M$8</definedName>
    <definedName name="RO">#REF!</definedName>
    <definedName name="Road">'[27]#REF!'!$X$10:$AF$147</definedName>
    <definedName name="Road1">[109]LOOKUP!$Z$10:$AI$3000</definedName>
    <definedName name="RR">#N/A</definedName>
    <definedName name="RTH">#REF!</definedName>
    <definedName name="RZ_C_CARD">#REF!</definedName>
    <definedName name="RZ_COMP">'[56]New card vs old'!$C$78</definedName>
    <definedName name="RZ_N_CARD">#REF!</definedName>
    <definedName name="s">{#N/A,#N/A,FALSE,"Week 2002";#N/A,#N/A,FALSE,"YTD 2002";#N/A,#N/A,FALSE,"Quarterly Trend(Q3)"}</definedName>
    <definedName name="S.E.A">#REF!</definedName>
    <definedName name="S.E.A.">#REF!</definedName>
    <definedName name="S3APRIL">#REF!</definedName>
    <definedName name="S3AUGUST">#REF!</definedName>
    <definedName name="S3DECEMBER">#REF!</definedName>
    <definedName name="S3FEBRUARY">#REF!</definedName>
    <definedName name="S3JANUARY">#REF!</definedName>
    <definedName name="S3JULY">#REF!</definedName>
    <definedName name="S3JUNE">#REF!</definedName>
    <definedName name="S3MARCH">#REF!</definedName>
    <definedName name="S3MAY">#REF!</definedName>
    <definedName name="S3NOVEMBER">#REF!</definedName>
    <definedName name="S3OCTOBER">#REF!</definedName>
    <definedName name="S3SEPTEMBER">#REF!</definedName>
    <definedName name="SA">#REF!</definedName>
    <definedName name="SALES">#REF!</definedName>
    <definedName name="Sales_AE">[28]Request!$B$21</definedName>
    <definedName name="Sales_Manager">[28]Request!$B$19</definedName>
    <definedName name="samson1995">'[113]#REF!'!$N$42:$Y$96</definedName>
    <definedName name="SAMSON1996">#REF!</definedName>
    <definedName name="Scenario">#REF!</definedName>
    <definedName name="SDAALL">'[90]Customer Info'!$V$15</definedName>
    <definedName name="SDAD">#REF!</definedName>
    <definedName name="sdfs">'[69]#REF!'!$A$99</definedName>
    <definedName name="sds">'[116]TG-ON LINE'!#REF!</definedName>
    <definedName name="SEGMENT_1">#REF!</definedName>
    <definedName name="SEGMENT_2">#REF!</definedName>
    <definedName name="SEGMENT_3">#REF!</definedName>
    <definedName name="SEGMENT_4">#REF!</definedName>
    <definedName name="SEGMENT_5">#REF!</definedName>
    <definedName name="SEGMENT_6">#REF!</definedName>
    <definedName name="SEGMENT_7">#REF!</definedName>
    <definedName name="SEGMENT_8">#REF!</definedName>
    <definedName name="SERNAMCNS">#REF!</definedName>
    <definedName name="SERNAMWGT">#REF!</definedName>
    <definedName name="SERO">#REF!</definedName>
    <definedName name="SERO1">'[19]#REF!'!$L$271</definedName>
    <definedName name="SERO2">'[19]#REF!'!$O$271</definedName>
    <definedName name="Service_IE">[28]Request!$R$46</definedName>
    <definedName name="Service_IE_IEF">[28]Request!$R$47</definedName>
    <definedName name="Service_IEF">[28]Request!$S$46</definedName>
    <definedName name="Service_IP">[28]Request!$P$46</definedName>
    <definedName name="Service_IP_IPF">[28]Request!$P$47</definedName>
    <definedName name="Service_IPF">[28]Request!$Q$46</definedName>
    <definedName name="Service_Type">[28]Request!$L$48</definedName>
    <definedName name="Services_Requested">[28]Request!$A$42</definedName>
    <definedName name="Ship">#REF!</definedName>
    <definedName name="Ship_Locations">[28]Request!$M$125:$M$150</definedName>
    <definedName name="Ship_Tender">[28]Request!$E$68</definedName>
    <definedName name="SHIPMENTS">#REF!</definedName>
    <definedName name="Show9DigitAccts">[28]TempVariables!$J$3</definedName>
    <definedName name="SHview">#REF!</definedName>
    <definedName name="SIC">'[93]NBA 1'!#REF!</definedName>
    <definedName name="SlsChan">[35]control!$B$27:$B$28</definedName>
    <definedName name="SPE">'[19]#REF!'!$D$912:$D$1088</definedName>
    <definedName name="Spec_Op">[28]Request!$A$72</definedName>
    <definedName name="special">'[117]TG-ON LINE'!#REF!</definedName>
    <definedName name="SPECIAL1">'[19]#REF!'!$C$11:$S$154</definedName>
    <definedName name="SPECIAL2">'[19]#REF!'!$A$11:$S$154</definedName>
    <definedName name="Spview">#REF!</definedName>
    <definedName name="SQ">#REF!</definedName>
    <definedName name="SR_WPX">'[32]#REF!'!$N$20:$W$28</definedName>
    <definedName name="STA">#REF!</definedName>
    <definedName name="start_per_kilo">#REF!</definedName>
    <definedName name="StartMonth">[28]TempVariables!$G$3</definedName>
    <definedName name="Stop">#REF!</definedName>
    <definedName name="Strategy">[28]Request!$A$108</definedName>
    <definedName name="Submission_Date">#REF!</definedName>
    <definedName name="supschedule">'[41]#REF!'!$A$1:$H$46</definedName>
    <definedName name="SurchargeType">[35]control!$I$27:$I$32</definedName>
    <definedName name="t">#N/A</definedName>
    <definedName name="TAB">#REF!</definedName>
    <definedName name="TABLE">#REF!</definedName>
    <definedName name="Table03__Volume_2009">#REF!</definedName>
    <definedName name="TABLE30319CONSO">'[19]#REF!'!$B$1:$K$2985</definedName>
    <definedName name="TABLE30319DIV">'[19]#REF!'!$B$1:$F$22</definedName>
    <definedName name="TAN">'[19]#REF!'!$D$1090:$D$1162</definedName>
    <definedName name="TANAT1">'[19]#REF!'!$C$11:$S$86</definedName>
    <definedName name="TANAT2">'[19]#REF!'!$A$11:$S$86</definedName>
    <definedName name="tariff">'[76]ecx WB'!$A$10:$G$27</definedName>
    <definedName name="Tariff_Expiry_Date">#REF!</definedName>
    <definedName name="Tariff_valid_per">[82]Parameter!$B$13</definedName>
    <definedName name="tariff2">#REF!</definedName>
    <definedName name="tarifu">#REF!</definedName>
    <definedName name="TaxTV">10%</definedName>
    <definedName name="TaxXL">5%</definedName>
    <definedName name="tdd12premiums">[76]skp!$A$18:$G$30</definedName>
    <definedName name="tdd12wb">'[76]tdd12 rates'!$A$4:$F$21</definedName>
    <definedName name="tdd9premiums">[76]skp!$A$4:$G$14</definedName>
    <definedName name="tdd9wb">'[76]tdd9 rates'!$A$4:$F$21</definedName>
    <definedName name="TDDOMADDER">#REF!</definedName>
    <definedName name="TDDOMCONTRACTS">#REF!</definedName>
    <definedName name="TDDOMVOLUMETRIC">#REF!</definedName>
    <definedName name="TDDOMZONING">#REF!</definedName>
    <definedName name="TDINTADDER">#REF!</definedName>
    <definedName name="TDINTCONTRACTS">#REF!</definedName>
    <definedName name="TDINTVOLUMETRIC">#REF!</definedName>
    <definedName name="TDINTZONING">#REF!</definedName>
    <definedName name="temp">#REF!</definedName>
    <definedName name="Temp3">'[113]#REF!'!$C$1:$K$5645</definedName>
    <definedName name="TEMPDOXZAAdder">#N/A</definedName>
    <definedName name="TempDOXZFAdder">#N/A</definedName>
    <definedName name="TEMPLATE">[110]POV!$B$2</definedName>
    <definedName name="TEMPLIST">'[45]#REF!'!$A$1:$A$5</definedName>
    <definedName name="TempVariables">[28]TempVariables!$A$1</definedName>
    <definedName name="TempWPXAdder">#N/A</definedName>
    <definedName name="TempWPXZF">#N/A</definedName>
    <definedName name="TEMPWPXZFAdder">#N/A</definedName>
    <definedName name="term">#REF!</definedName>
    <definedName name="tert">[77]Competitors!$A$25</definedName>
    <definedName name="TEST0">'[27]#REF!'!$A$2:$D$400</definedName>
    <definedName name="Testing">#REF!</definedName>
    <definedName name="TESTKEYS">'[27]#REF!'!$A$2:$D$400</definedName>
    <definedName name="TestTotal">#REF!</definedName>
    <definedName name="TESTVKEY">'[27]#REF!'!$A$1:$D$1</definedName>
    <definedName name="tete">[77]Competitors!$A$54</definedName>
    <definedName name="tetet">'[69]#REF!'!$A$1</definedName>
    <definedName name="Tier">'[118]Portfolio Discount'!#REF!</definedName>
    <definedName name="Timeline">#REF!</definedName>
    <definedName name="TITLES">#REF!</definedName>
    <definedName name="tl_mult_10">#REF!</definedName>
    <definedName name="tl_mult_25">#REF!</definedName>
    <definedName name="tl_smt_10">[6]data!$AB$2:$AK$24</definedName>
    <definedName name="tl_smt_25">[6]data!$BB$2:$BK$9</definedName>
    <definedName name="tl_vol_10">[6]data!$AO$2:$AX$24</definedName>
    <definedName name="tl_vol_25">[6]data!$BO$2:$BX$9</definedName>
    <definedName name="TNT">[7]Competitors!$S$70:$Y$88</definedName>
    <definedName name="TNT_WPX">#REF!</definedName>
    <definedName name="TNT_操作要求及相关规定">#REF!</definedName>
    <definedName name="TNT_大陆F价">'[29]CNT-F价'!$A$3</definedName>
    <definedName name="TNT_大陆TNT东欧经济价">[29]CNT东欧48N15N!$B$3</definedName>
    <definedName name="TNT_大陆TNT东欧全球价">[29]CNT东欧48N15N!$E$3</definedName>
    <definedName name="TNT_大陆TNT干电池货价">[29]CNT干电池!$A$3</definedName>
    <definedName name="TNT_大陆TNT经济大货价">[29]TNT代理大货价!$B$3:$H$3</definedName>
    <definedName name="TNT_大陆TNT经济分区">[29]CNT经济!$Q$5:$W$5</definedName>
    <definedName name="TNT_大陆TNT经济价">[29]CNT经济!$A$3</definedName>
    <definedName name="TNT_大陆TNT经济泡货价">[29]CNT经济泡货!$B$3:$G$3</definedName>
    <definedName name="TNT_大陆TNT欧洲特价48F_含油价">[29]CNT欧洲48F!$B$3:$H$3</definedName>
    <definedName name="TNT_大陆TNT全球大货价">[29]TNT代理大货价!$B$10:$H$10</definedName>
    <definedName name="TNT_大陆TNT全球分区">[29]CNT全球!$Q$5:$W$5</definedName>
    <definedName name="TNT_大陆TNT全球价">[29]CNT全球!$A$3</definedName>
    <definedName name="TNT_深圳TNT_经济服务">[29]SZT经济!$B$3:$M$3</definedName>
    <definedName name="TNT_深圳TNT_全球服务">[29]SZT全球!$B$3:$M$3</definedName>
    <definedName name="TNT_深圳TNT中东经济价">[29]CNT中东48F!$A$3</definedName>
    <definedName name="TNT_香港_TNT经济特惠">[29]HKT特惠!$A$3</definedName>
    <definedName name="TNT_香港欧洲大货促销价_材积除6000全包价">[29]HKT欧洲48F!$B$3:$F$3</definedName>
    <definedName name="TNTXIAMEN">#N/A</definedName>
    <definedName name="top">#REF!</definedName>
    <definedName name="top_lane">#REF!</definedName>
    <definedName name="top_pct">#REF!</definedName>
    <definedName name="TOPEMS">'[19]#REF!'!$E$1:$E$11</definedName>
    <definedName name="TOPGLOBAL">'[19]#REF!'!$E$1:$E$11</definedName>
    <definedName name="TOPHEADCOUNT">'[19]#REF!'!$E$1:$E$11</definedName>
    <definedName name="TOPKPI">'[19]#REF!'!$F$1:$F$11</definedName>
    <definedName name="TOPMAILFAST">'[19]#REF!'!$E$1:$E$11</definedName>
    <definedName name="TOPNATIONAL">'[19]#REF!'!$E$1:$E$11</definedName>
    <definedName name="TOPNONDIV">'[19]#REF!'!$E$1:$E$11</definedName>
    <definedName name="TOPSPECIAL">'[19]#REF!'!$E$1:$E$11</definedName>
    <definedName name="TOPTANAT">'[19]#REF!'!$D$1:$D$11</definedName>
    <definedName name="TOPWEF">'[19]#REF!'!$E$1:$E$11</definedName>
    <definedName name="TOPXP">'[19]#REF!'!$E$1:$E$11</definedName>
    <definedName name="tori">#REF!</definedName>
    <definedName name="Tot_Annual_Rev">[28]Request!$E$117</definedName>
    <definedName name="TOTCNS">#REF!</definedName>
    <definedName name="TOTWGT">#REF!</definedName>
    <definedName name="TPG">#REF!</definedName>
    <definedName name="TRANS_STAT">'[19]#REF!'!$C$11:$S$77</definedName>
    <definedName name="TRANS_STAT1">'[19]#REF!'!$C$11:$S$77</definedName>
    <definedName name="tre">'[69]#REF!'!$A$140</definedName>
    <definedName name="TRENDAOUT">'[19]#REF!'!$D$8:$S$10</definedName>
    <definedName name="tt">[119]UPS_Curr!$AE$6:$AI$2183</definedName>
    <definedName name="Ttl_contract">'[32]#REF!'!$B$4:$B$53</definedName>
    <definedName name="ttt">[119]UPS_Curr!$D$7:$R$109</definedName>
    <definedName name="TXTUPLDEMS">'[19]#REF!'!$B$1:$C$2325</definedName>
    <definedName name="TXTUPLDEMS1">'[19]#REF!'!$N$1:$O$2325</definedName>
    <definedName name="TXTUPLDTNT">'[19]#REF!'!$B$1:$C$2325</definedName>
    <definedName name="TXTUPLDTNT1">'[19]#REF!'!$N$1:$O$2325</definedName>
    <definedName name="TYO">#REF!</definedName>
    <definedName name="Type_rate">#REF!</definedName>
    <definedName name="u">#N/A</definedName>
    <definedName name="UI">[75]Competitors!$M$12:$M$22</definedName>
    <definedName name="UPD">'[13]#REF!'!$1:$7</definedName>
    <definedName name="UPLDCONSO">'[19]#REF!'!$D$1:$D$2340</definedName>
    <definedName name="UPLDCONSO1">'[19]#REF!'!$F$1</definedName>
    <definedName name="UPLDFR">'[19]#REF!'!$D$1:$D$2340</definedName>
    <definedName name="UPLDFRCHR">'[19]#REF!'!$C$1:$D$2345</definedName>
    <definedName name="UPLDSERO">'[19]#REF!'!$D$1:$D$2325</definedName>
    <definedName name="UPLOADFILE">'[19]#REF!'!$A$1:$D$2325</definedName>
    <definedName name="UPLOADFILEEMS">'[19]#REF!'!$A$1:$D$2325</definedName>
    <definedName name="UPLOADFILETNT">'[19]#REF!'!$A$1:$D$2325</definedName>
    <definedName name="UPP">#N/A</definedName>
    <definedName name="UPS">'[13]#REF!'!$1:$7</definedName>
    <definedName name="UPS_2015年香港UPS分区表">'[29]香港UPS分区表 '!$A$3</definedName>
    <definedName name="UPS_2015香港UPS公布价">'[29]香港UPS公布价 '!$A$3</definedName>
    <definedName name="ups_cost_10">'[6]UPS Cost'!$D$7:$M$29</definedName>
    <definedName name="ups_cost_25">'[6]UPS Cost'!$Q$7:$Z$14</definedName>
    <definedName name="ups_curr">#REF!</definedName>
    <definedName name="ups_curr_10">'[6]UPS Curr'!$D$7:$M$29</definedName>
    <definedName name="ups_curr_25">'[6]UPS Curr'!$Q$7:$Z$14</definedName>
    <definedName name="ups_curr_gross">#REF!</definedName>
    <definedName name="UPS_WPX">#REF!</definedName>
    <definedName name="ups_xpr">#REF!</definedName>
    <definedName name="UPS_操作要求及附加费相关规定">[70]国际快递规则!$B$7</definedName>
    <definedName name="UPS_大陆UPS_FBA专线">'[29]CNU-FBA专线'!$B$2:$G$2</definedName>
    <definedName name="UPS_大陆UPS促销价6000_RMB含油不包税">[29]CNU美加促销!$A$3</definedName>
    <definedName name="UPS_大陆UPS促销价6000_含油包税_可接FBA">[29]CNU促销FBA!$B$3:$F$3</definedName>
    <definedName name="UPS_大陆UPS红单蓝单价_5000_自主打单">[29]CNU红蓝单5K!$B$3:$J$3</definedName>
    <definedName name="UPS_大陆UPS美国红蓝单_6000__含油">[29]CNU红蓝单6K!$A$3</definedName>
    <definedName name="UPS_大陆UPS欧洲红单_蓝单6000价格">[29]CNU红蓝单6K!$B$10:$L$10</definedName>
    <definedName name="UPS_香港UPS红单6000">'[29]HKU红单6K '!$A$3</definedName>
    <definedName name="UPS_香港UPS红单特惠">'[29]HKU红单特惠 '!$A$3</definedName>
    <definedName name="UPS_香港UPS蓝单特惠">[29]HKU蓝单特惠!$A$3</definedName>
    <definedName name="UPS_香港UPS蓝单特价B">[29]HKU蓝单B!$B$3</definedName>
    <definedName name="upss">'[43]#REF!'!#REF!</definedName>
    <definedName name="upsvscompnew">'[53]UPS vs compnew'!$AQ$3:$BJ$113</definedName>
    <definedName name="UPS大货价">'[13]#REF!'!$1:$7</definedName>
    <definedName name="UPS分区">#REF!</definedName>
    <definedName name="USAcctsOnly">[28]TempVariables!$I$3</definedName>
    <definedName name="USD">#REF!</definedName>
    <definedName name="USD_DOM">#N/A</definedName>
    <definedName name="USD_IMP_DOX">#REF!</definedName>
    <definedName name="USD_IMP_WPX">#REF!</definedName>
    <definedName name="USD_OB_DOX">#REF!</definedName>
    <definedName name="USD_OB_WPX">#REF!</definedName>
    <definedName name="UserID">[28]TempVariables!$N$3</definedName>
    <definedName name="v">#N/A</definedName>
    <definedName name="Valid_Countries">'[19]#REF!'!$A$3:$A$14</definedName>
    <definedName name="ValidDepots">'[19]#REF!'!$B$1:$B$8219</definedName>
    <definedName name="Value_2K">[28]Request!$E$88</definedName>
    <definedName name="values">[28]Request!$L$16:$O$150</definedName>
    <definedName name="VARANA_COST">'[19]#REF!'!$A$102:$O$194</definedName>
    <definedName name="VARANA_DIVC">'[19]#REF!'!$A$128:$O$186</definedName>
    <definedName name="VARANA_EMSDC">'[19]#REF!'!$A$121:$O$127</definedName>
    <definedName name="VARANA_F_A">'[19]#REF!'!$A$187:$O$192</definedName>
    <definedName name="VARANA_LH">'[19]#REF!'!$B$76:$O$101</definedName>
    <definedName name="VARANA_M_O">'[19]#REF!'!$A$187:$O$194</definedName>
    <definedName name="VARANA_M_O1">'[19]#REF!'!$A$6:$O$194</definedName>
    <definedName name="VARANA_OPS">'[19]#REF!'!$A$102:$O$120</definedName>
    <definedName name="VARANA_REV">'[19]#REF!'!$B$7:$O$75</definedName>
    <definedName name="vbbbb">[77]Competitors!$B$77</definedName>
    <definedName name="vdc">[77]Competitors!$B$73</definedName>
    <definedName name="Vehicle">'[46]#REF!'!$C$62:$E$70</definedName>
    <definedName name="VERSION">#REF!</definedName>
    <definedName name="VIC">#REF!</definedName>
    <definedName name="w">#REF!</definedName>
    <definedName name="WB">#REF!</definedName>
    <definedName name="wb_gpiwpx">'[108]Approved Discts-lb'!$AE$24:$AR$33</definedName>
    <definedName name="week">'[19]#REF!'!$B$4</definedName>
    <definedName name="WeekStart">#REF!</definedName>
    <definedName name="Weight_Unit">[82]Parameter!$B$7</definedName>
    <definedName name="WEIGHTBREAKSLOOKUP">#REF!</definedName>
    <definedName name="WGTAFT">#REF!</definedName>
    <definedName name="WGTEMS">#REF!</definedName>
    <definedName name="WGTGLO">#REF!</definedName>
    <definedName name="WGTMF">#REF!</definedName>
    <definedName name="WGTNAT">#REF!</definedName>
    <definedName name="WGTSKYPPD">#REF!</definedName>
    <definedName name="WGTSS">#REF!</definedName>
    <definedName name="WGTWEF">#REF!</definedName>
    <definedName name="WGTXP">#REF!</definedName>
    <definedName name="win">{"F3 detail",#N/A,FALSE,"F1";"F3 Presentation",#N/A,FALSE,"F3 "}</definedName>
    <definedName name="window">{#N/A,#N/A,FALSE,"Week 2002";#N/A,#N/A,FALSE,"YTD 2002";#N/A,#N/A,FALSE,"Quarterly Trend(Q3)"}</definedName>
    <definedName name="wka">[91]Setup!$D$6</definedName>
    <definedName name="wkb">[91]Setup!$D$7</definedName>
    <definedName name="wkc">[91]Setup!$D$9</definedName>
    <definedName name="wkd">[91]Setup!$D$10</definedName>
    <definedName name="wke">{#N/A,#N/A,FALSE,"FRANCE MONTH DETAIL  FFR";#N/A,#N/A,FALSE,"FRANCE MONTH DETAIL  NLG";#N/A,#N/A,FALSE,"FRANCE YTD  DETAIL FFR";#N/A,#N/A,FALSE,"FRANCE YTD  DETAIL NLG"}</definedName>
    <definedName name="WPX">#REF!</definedName>
    <definedName name="WPX_Band">#REF!</definedName>
    <definedName name="WPX_EUROS">'[52]Breaks Euros'!$B$49:$K$68</definedName>
    <definedName name="WPX_GRAPHS">#REF!</definedName>
    <definedName name="WPX_MMS">#REF!</definedName>
    <definedName name="WPX_pivot_table">#REF!</definedName>
    <definedName name="WPX_PRICE_PUB">#REF!</definedName>
    <definedName name="WPX0">#N/A</definedName>
    <definedName name="WPXACPS">#REF!</definedName>
    <definedName name="WPXB25">#N/A</definedName>
    <definedName name="WPXContract">#N/A</definedName>
    <definedName name="WPXHWData">#N/A</definedName>
    <definedName name="WPXHWData8">#N/A</definedName>
    <definedName name="WPXIB">#N/A</definedName>
    <definedName name="WPXKGINP">#REF!</definedName>
    <definedName name="WPXOB">#N/A</definedName>
    <definedName name="wrn.PNL._.Analysis.">{#N/A,#N/A,FALSE,"FRANCE MONTH DETAIL  FFR";#N/A,#N/A,FALSE,"FRANCE MONTH DETAIL  NLG";#N/A,#N/A,FALSE,"FRANCE YTD  DETAIL FFR";#N/A,#N/A,FALSE,"FRANCE YTD  DETAIL NLG"}</definedName>
    <definedName name="wrn.Revenue._.quality.">{#N/A,#N/A,FALSE,"REV. KPI MONTH  FFR";#N/A,#N/A,FALSE,"REV. KPI MONTH  NLG";#N/A,#N/A,FALSE,"REV. KPI YTD FFR";#N/A,#N/A,FALSE,"REV. KPI YTD  NLG"}</definedName>
    <definedName name="wrn.test.">{"F3 Presentation",#N/A,FALSE,"F3 ";"F3 detail",#N/A,FALSE,"F3 "}</definedName>
    <definedName name="wrn.test2.">{"F3 detail",#N/A,FALSE,"F3 ";"F3 Presentation",#N/A,FALSE,"F3 "}</definedName>
    <definedName name="wrn.test3.">{"F3 detail",#N/A,FALSE,"F1";"F3 Presentation",#N/A,FALSE,"F3 "}</definedName>
    <definedName name="wrn.WeeklyReport.">{#N/A,#N/A,FALSE,"Week 2002";#N/A,#N/A,FALSE,"YTD 2002";#N/A,#N/A,FALSE,"Quarterly Trend(Q3)"}</definedName>
    <definedName name="WtMetric">[28]Request!$B$25</definedName>
    <definedName name="X">{#N/A,#N/A,FALSE,"REV. KPI MONTH  FFR";#N/A,#N/A,FALSE,"REV. KPI MONTH  NLG";#N/A,#N/A,FALSE,"REV. KPI YTD FFR";#N/A,#N/A,FALSE,"REV. KPI YTD  NLG"}</definedName>
    <definedName name="XCHARGE">'[19]#REF!'!$E$216:$S$221</definedName>
    <definedName name="XP">'[19]#REF!'!$D$514:$D$705</definedName>
    <definedName name="y">[3]Express!$R$4:$AB$56</definedName>
    <definedName name="Year">#REF!</definedName>
    <definedName name="YN">[35]control!$P$27:$P$28</definedName>
    <definedName name="YTD">{#N/A,#N/A,FALSE,"FRANCE MONTH DETAIL  FFR";#N/A,#N/A,FALSE,"FRANCE MONTH DETAIL  NLG";#N/A,#N/A,FALSE,"FRANCE YTD  DETAIL FFR";#N/A,#N/A,FALSE,"FRANCE YTD  DETAIL NLG"}</definedName>
    <definedName name="ytdSumE">'[45]#REF!'!$B$25:$G$37</definedName>
    <definedName name="ytdSumEbit">'[45]#REF!'!$K$25:$T$37</definedName>
    <definedName name="ytdSumR">'[45]#REF!'!$B$7:$G$19</definedName>
    <definedName name="ytdSumrev">'[45]#REF!'!$K$7:$T$19</definedName>
    <definedName name="z">#N/A</definedName>
    <definedName name="Z_Rates">#REF!</definedName>
    <definedName name="zonas">#REF!</definedName>
    <definedName name="zone">'[27]#REF!'!$B$1:$E$190</definedName>
    <definedName name="zone_lookup">#REF!</definedName>
    <definedName name="zone1">#N/A</definedName>
    <definedName name="ZonedOut">[35]rates_input!$R$5:$Z$8</definedName>
    <definedName name="ZonedOut1">[35]rates_input!$I$6:$Z$8</definedName>
    <definedName name="ZonedOut2">[35]rates_input!$I$7:$Z$8</definedName>
    <definedName name="ZONELU">[90]SURCHARGES!$B$9:$D$59</definedName>
    <definedName name="ZoneNr">#REF!</definedName>
    <definedName name="Zones">'[27]#REF!'!$A$2:$B$216</definedName>
    <definedName name="Zones_New">[35]zones_input!$B:$G</definedName>
    <definedName name="Zones_Rev">#REF!</definedName>
    <definedName name="ZONES1">#REF!</definedName>
    <definedName name="ZONES2">#REF!</definedName>
    <definedName name="ZONING_DDDOM">#REF!</definedName>
    <definedName name="ZONING_DDINT">#REF!</definedName>
    <definedName name="ZONING_TDDOM">#REF!</definedName>
    <definedName name="ZONING_TDINT">#REF!</definedName>
    <definedName name="ZONINGLOOKUP">#REF!</definedName>
    <definedName name="ZPivot_Table">#REF!</definedName>
    <definedName name="Ztariff">#REF!</definedName>
    <definedName name="от_1_кг_по_20кг">43831</definedName>
    <definedName name="安装合计">#REF!</definedName>
    <definedName name="报价表目录大纲">[29]目录!$A$2</definedName>
    <definedName name="备注_____1、以上价格供参考_其中以港币计价为标准_1HKD_1.07RMB">#N/A</definedName>
    <definedName name="擦擦擦擦擦擦">'[13]#REF!'!$A$16:$D$24</definedName>
    <definedName name="大陆UPS美国专线_6000">[29]美国UPS空加派!$B$3:$H$3</definedName>
    <definedName name="的">#REF!</definedName>
    <definedName name="电商网购小包包税_一单到底">[29]日本专线!$C$2:$H$2</definedName>
    <definedName name="分大姑父">'[116]TG-ON LINE'!#REF!</definedName>
    <definedName name="构建合计">#REF!</definedName>
    <definedName name="规范更好">#REF!</definedName>
    <definedName name="规划_2_合计">#REF!</definedName>
    <definedName name="规划合计">#REF!</definedName>
    <definedName name="货物申报要素信息表">#REF!</definedName>
    <definedName name="加拿大海派">[9]Competitors!$G$12:$G$22</definedName>
    <definedName name="加拿大空派专线">[5]Competitors!$G$5:$G$10</definedName>
    <definedName name="昆明">#REF!</definedName>
    <definedName name="林德">'[116]TG-ON LINE'!#REF!</definedName>
    <definedName name="林德中亚">'[116]TG-ON LINE'!#REF!</definedName>
    <definedName name="马来西亚">{"F3 detail",#N/A,FALSE,"F1";"F3 Presentation",#N/A,FALSE,"F3 "}</definedName>
    <definedName name="美国UPS专线_SCS一单到底_FBA仓库地址">#REF!</definedName>
    <definedName name="美国亚马逊_FBA_龙洲计划_海运_包油包税">[29]FBA海运!$B$2:$F$2</definedName>
    <definedName name="美国亚马逊_FBA_龙洲计划_空运_包油包税">[29]FBA空运!$B$2:$F$2</definedName>
    <definedName name="美国专线_COMMERCIAL_INVOICE">[29]美国UPS空加派!$AB$4:$AJ$4</definedName>
    <definedName name="美国专线_Packing_List">[29]美国UPS空加派!$K$3:$Y$3</definedName>
    <definedName name="目录">[9]Competitors!$I$5:$I$10</definedName>
    <definedName name="清单">[29]美国UPS空加派!$AM$3:$AV$3</definedName>
    <definedName name="去去去去">#REF!</definedName>
    <definedName name="日中">[3]Competitors!$B$12:$B$22</definedName>
    <definedName name="深圳">#REF!</definedName>
    <definedName name="香港Aramex_中东_代理价">[29]香港中东代理!$B$2:$M$2</definedName>
    <definedName name="香港DHL">#REF!</definedName>
    <definedName name="香港DHL28区分区表">'[12]#REF!'!$BM$5:$BU$16</definedName>
    <definedName name="香港DHLD">[71]Competitors!$A$12:$A$22</definedName>
    <definedName name="原单号_UPS_SCS_INVOICE">[29]SCS发票!$B$1:$J$1</definedName>
    <definedName name="原单号_UPS_SCS_Packing_List">[29]SCS装箱单!$B$1:$M$1</definedName>
    <definedName name="在">#REF!</definedName>
    <definedName name="中港件">[3]Competitors!$M$12:$M$22</definedName>
    <definedName name="wk_mnth">'[109]CHT EBIT BUD WKLY'!$AA$52</definedName>
    <definedName name="wk_qtr">'[109]CHT EBIT BUD WKLY'!$AB$52</definedName>
    <definedName name="wk_qtr2">'[109]CHT EBIT BUD WKLY'!$AB$54</definedName>
    <definedName name="yield">'[110]YIELD Euro'!$A$1</definedName>
    <definedName name="Z_0E8C800F_28E6_47C5_A58C_494E4F1739C9_.wvu.PrintArea">[112]中速经济TNT!$A$1:$H$32</definedName>
    <definedName name="zone_dhl">'[115]input sheet'!$L$4:$O$224</definedName>
    <definedName name="点击进入">[116]目录!$C$8</definedName>
    <definedName name="分区表">[119]均辉小包报价目录!$E$4,[119]均辉小包报价目录!$E$4,[119]均辉小包报价目录!$E$4,[119]均辉小包报价目录!$E$4,[119]均辉小包报价目录!$E$4,[119]均辉小包报价目录!$E$4</definedName>
    <definedName name="usp">'[120]#REF!'!$N$42:$Y$96</definedName>
    <definedName name="WK">[121]EBIT!$T$82</definedName>
    <definedName name="Z_46058903_672F_11D6_A565_0050BAD12E1C_.wvu.FilterData">'[122]TG-ON LINE'!#REF!</definedName>
    <definedName name="Z_68C66201_7C83_11D6_9767_08004606D812_.wvu.FilterData">'[122]TG-ON LINE'!#REF!</definedName>
    <definedName name="Z_7BD45B96_5820_4859_A13E_A7C1D9B80667_.wvu.FilterData">'[122]TG-ON LINE'!#REF!</definedName>
    <definedName name="Z_901717B4_B69B_4B96_A563_00BF7A423DBC_.wvu.FilterData">'[122]TG-ON LINE'!#REF!</definedName>
    <definedName name="Z_A3F9B84E_C56C_11D6_A583_5254AB14ADBF_.wvu.FilterData">'[122]TG-ON LINE'!#REF!</definedName>
    <definedName name="Z_BBB0F9A0_1193_11D5_B58F_5254AB14ADBF_.wvu.FilterData">'[122]TG-ON LINE'!#REF!</definedName>
    <definedName name="Z_C145DAD7_1A10_4803_A136_4EF0810C9B62_.wvu.FilterData">'[122]TG-ON LINE'!#REF!</definedName>
    <definedName name="Z_D4596601_4487_11D5_B58F_5254AB14ADBF_.wvu.FilterData">'[122]TG-ON LINE'!#REF!</definedName>
    <definedName name="Z_DD79D38E_38C4_40EE_8FE5_A7B2747C6F34_.wvu.FilterData">'[122]TG-ON LINE'!$A$4:$A$297</definedName>
    <definedName name="ZAREAL_WPXFEE_01">[126]RateCards!$D$8:$S$8</definedName>
    <definedName name="ZCTRL_BUSINESSTYPE_01">[127]Raten!$I$9</definedName>
    <definedName name="ZCTRL_PROZRAB_012">[126]Kontrollblatt!$C$85</definedName>
    <definedName name="多多">'[123]#REF!'!$A$16:$D$24</definedName>
    <definedName name="非洲">#REF!</definedName>
    <definedName name="国家">[124]国家二字码!$A$2:$A$261</definedName>
    <definedName name="三四十">'[122]TG-ON LINE'!#REF!</definedName>
    <definedName name="深圳E邮宝公布价">[125]目录!$H$9</definedName>
    <definedName name="直飞FRA_AMS">#REF!</definedName>
    <definedName name="_xlnm._FilterDatabase" localSheetId="2" hidden="1">FBA仓库代码表!$A$1:$XEY$1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<sst xmlns="http://schemas.openxmlformats.org/spreadsheetml/2006/main" count="4235" uniqueCount="1269">
  <si>
    <t>File Name</t>
  </si>
  <si>
    <t>SKU Name</t>
  </si>
  <si>
    <t>Additional Data</t>
  </si>
  <si>
    <t>箱数</t>
  </si>
  <si>
    <t>FBA Warehouse</t>
  </si>
  <si>
    <t>单箱数量</t>
  </si>
  <si>
    <t>总数</t>
  </si>
  <si>
    <t>单个净重</t>
  </si>
  <si>
    <t>总净重</t>
  </si>
  <si>
    <t>包装盒重量</t>
  </si>
  <si>
    <t>箱子重量</t>
  </si>
  <si>
    <t>单箱重量</t>
  </si>
  <si>
    <t>总毛重</t>
  </si>
  <si>
    <t>单价</t>
  </si>
  <si>
    <t>体积</t>
  </si>
  <si>
    <t>长</t>
  </si>
  <si>
    <t>宽</t>
  </si>
  <si>
    <t>高</t>
  </si>
  <si>
    <t>商品统称</t>
  </si>
  <si>
    <t>HS</t>
  </si>
  <si>
    <t>目的地</t>
  </si>
  <si>
    <t>英文目的地</t>
  </si>
  <si>
    <t>仓库地址全</t>
  </si>
  <si>
    <t>申报要素</t>
  </si>
  <si>
    <t>境内货源地</t>
  </si>
  <si>
    <t>起运港</t>
  </si>
  <si>
    <t>离境口岸</t>
  </si>
  <si>
    <t>申报单位</t>
  </si>
  <si>
    <t>法定单位</t>
  </si>
  <si>
    <t>国家编码</t>
  </si>
  <si>
    <t>货币编码</t>
  </si>
  <si>
    <t>广东东莞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</si>
  <si>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商品货号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</si>
  <si>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商品名称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</si>
  <si>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商品</t>
    </r>
    <r>
      <rPr>
        <sz val="11"/>
        <color theme="1"/>
        <rFont val="宋体"/>
        <charset val="134"/>
        <scheme val="minor"/>
      </rPr>
      <t>编码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</si>
  <si>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规格型号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</si>
  <si>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申报计量单位</t>
    </r>
  </si>
  <si>
    <r>
      <rPr>
        <sz val="11"/>
        <color theme="5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法定计量单位</t>
    </r>
  </si>
  <si>
    <t>第二计量单位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</si>
  <si>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销售订单商品sku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</si>
  <si>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商品数量比</t>
    </r>
  </si>
  <si>
    <t>单箱净重</t>
  </si>
  <si>
    <t>单箱毛重</t>
  </si>
  <si>
    <t>单箱体积</t>
  </si>
  <si>
    <t>商品单位</t>
  </si>
  <si>
    <t>AV-CMB-Mini-White</t>
  </si>
  <si>
    <t>化妆包</t>
  </si>
  <si>
    <t>3|2|化妆包|人造革+PVC|AV-CMB-Mini-White</t>
  </si>
  <si>
    <t>007</t>
  </si>
  <si>
    <t>035</t>
  </si>
  <si>
    <t/>
  </si>
  <si>
    <t>AV-CMB-WS</t>
  </si>
  <si>
    <t>3|2|化妆包|人造革+PVC|AV-CMB-WS</t>
  </si>
  <si>
    <t>Z6-Z0WQ-CRCK</t>
  </si>
  <si>
    <t>3|2|化妆包|人造革+PVC|Z6-Z0WQ-CRCK</t>
  </si>
  <si>
    <t>AV-CMB-DLW-M</t>
  </si>
  <si>
    <t>3|2|化妆包|人造革+PVC|AV-CMB-DLW-M</t>
  </si>
  <si>
    <t>AV-CMB-WS-Thin</t>
  </si>
  <si>
    <t>3|2|化妆包|人造革+PVC|AV-CMB-WS-Thin</t>
  </si>
  <si>
    <t>AV-CMB-LM-White</t>
  </si>
  <si>
    <t>3|2|化妆包|人造革+PVC|AV-CMB-LM-White</t>
  </si>
  <si>
    <t>006</t>
  </si>
  <si>
    <t>AV-CMB-DLW1</t>
  </si>
  <si>
    <t>3|2|化妆包|人造革+PVC|AV-CMB-DLW1</t>
  </si>
  <si>
    <t>AV-CMB-Mini-Pink-New</t>
  </si>
  <si>
    <t>3|2|化妆包|人造革+PVC|AV-CMB-Mini-Pink-New</t>
  </si>
  <si>
    <t>AV-CMB-PK</t>
  </si>
  <si>
    <t>3|2|化妆包|人造革+PVC|AV-CMB-PK</t>
  </si>
  <si>
    <t>H9-6F0N-20M3</t>
  </si>
  <si>
    <t>3|2|化妆包|人造革+PVC|H9-6F0N-20M3</t>
  </si>
  <si>
    <t>AV-CMB-DLP-M</t>
  </si>
  <si>
    <t>3|2|化妆包|人造革+PVC|AV-CMB-DLP-M</t>
  </si>
  <si>
    <t>AV-CMB-DLP</t>
  </si>
  <si>
    <t>3|2|化妆包|人造革+PVC|AV-CMB-DLP</t>
  </si>
  <si>
    <t>AV-CMB-Pink-Thin</t>
  </si>
  <si>
    <t>3|2|化妆包|人造革+PVC|AV-CMB-Pink-Thin</t>
  </si>
  <si>
    <t>AV-CMB-LM-Pink</t>
  </si>
  <si>
    <t>3|2|化妆包|人造革+PVC|AV-CMB-LM-Pink</t>
  </si>
  <si>
    <t>AV-CMB-Black-Mini</t>
  </si>
  <si>
    <t>3|2|化妆包|人造革+PVC|AV-CMB-Black-Mini</t>
  </si>
  <si>
    <t>AV-CMB-Mini-Black-New</t>
  </si>
  <si>
    <t>3|2|化妆包|人造革+PVC|AV-CMB-Mini-Black-New</t>
  </si>
  <si>
    <t>P7-ERIK-PUBF</t>
  </si>
  <si>
    <t>3|2|化妆包|人造革+PVC|P7-ERIK-PUBF</t>
  </si>
  <si>
    <t>F2-UBOI-C3KC</t>
  </si>
  <si>
    <t>3|2|化妆包|人造革+PVC|F2-UBOI-C3KC</t>
  </si>
  <si>
    <t>AV-CMB-DLBlack-M</t>
  </si>
  <si>
    <t>3|2|化妆包|人造革+PVC|AV-CMB-DLBlack-M</t>
  </si>
  <si>
    <t>AV-CMB-DLBlack</t>
  </si>
  <si>
    <t>3|2|化妆包|人造革+PVC|AV-CMB-DLBlack</t>
  </si>
  <si>
    <t>AV-CMB-Black-Thin</t>
  </si>
  <si>
    <t>3|2|化妆包|人造革+PVC|AV-CMB-Black-Thin</t>
  </si>
  <si>
    <t>AV-CMB-LM-Black</t>
  </si>
  <si>
    <t>3|2|化妆包|人造革+PVC|AV-CMB-LM-Black</t>
  </si>
  <si>
    <t>AV-CMB-Blue-Mini</t>
  </si>
  <si>
    <t>3|2|化妆包|人造革+PVC|AV-CMB-Blue-Mini</t>
  </si>
  <si>
    <t>AV-CMB-Mini-Blue-Gray</t>
  </si>
  <si>
    <t>3|2|化妆包|人造革+PVC|AV-CMB-Mini-Blue-Gray</t>
  </si>
  <si>
    <t>AV-CMB-BlueM</t>
  </si>
  <si>
    <t>3|2|化妆包|人造革+PVC|AV-CMB-BlueM</t>
  </si>
  <si>
    <t>AV-CMB-BlueL</t>
  </si>
  <si>
    <t>3|2|化妆包|人造革+PVC|AV-CMB-BlueL</t>
  </si>
  <si>
    <t>AV-CMB-LM-Blue</t>
  </si>
  <si>
    <t>3|2|化妆包|人造革+PVC|AV-CMB-LM-Blue</t>
  </si>
  <si>
    <t>AV-CMB-Lilac-Mini</t>
  </si>
  <si>
    <t>3|2|化妆包|人造革+PVC|AV-CMB-Lilac-Mini</t>
  </si>
  <si>
    <t>AV-CMB-LilacM</t>
  </si>
  <si>
    <t>3|2|化妆包|人造革+PVC|AV-CMB-LilacM</t>
  </si>
  <si>
    <t>AV-CMB-LilacL</t>
  </si>
  <si>
    <t>3|2|化妆包|人造革+PVC|AV-CMB-LilacL</t>
  </si>
  <si>
    <t>AV-CMB-D-Large-Lilac</t>
  </si>
  <si>
    <t>3|2|化妆包|人造革+PVC|AV-CMB-D-Large-Lilac</t>
  </si>
  <si>
    <t>AV-CMB-PitayaPink-Mini</t>
  </si>
  <si>
    <t>3|2|化妆包|人造革+PVC|AV-CMB-PitayaPink-Mini</t>
  </si>
  <si>
    <t>AV-CMB-PitayaPink-M</t>
  </si>
  <si>
    <t>3|2|化妆包|人造革+PVC|AV-CMB-PitayaPink-M</t>
  </si>
  <si>
    <t>AV-CMB-PitayaPink-L</t>
  </si>
  <si>
    <t>3|2|化妆包|人造革+PVC|AV-CMB-PitayaPink-L</t>
  </si>
  <si>
    <t>AV-CMB-DL-PitayaPink</t>
  </si>
  <si>
    <t>3|2|化妆包|人造革+PVC|AV-CMB-DL-PitayaPink</t>
  </si>
  <si>
    <t>AV-CMB-Mini-Taupe</t>
  </si>
  <si>
    <t>3|2|化妆包|人造革+PVC|AV-CMB-Mini-Taupe</t>
  </si>
  <si>
    <t>AV-CMB-TaupeM</t>
  </si>
  <si>
    <t>3|2|化妆包|人造革+PVC|AV-CMB-TaupeM</t>
  </si>
  <si>
    <t>HQ-GXLM-GJBG</t>
  </si>
  <si>
    <t>3|2|化妆包|人造革+PVC|HQ-GXLM-GJBG</t>
  </si>
  <si>
    <t>AV-CMB-DLW-Brown</t>
  </si>
  <si>
    <t>3|2|化妆包|人造革+PVC|AV-CMB-DLW-Brown</t>
  </si>
  <si>
    <t>AV-CMB-Taupe-Thin</t>
  </si>
  <si>
    <t>3|2|化妆包|人造革+PVC|AV-CMB-Taupe-Thin</t>
  </si>
  <si>
    <t>AV-CMB-Grey-Mini</t>
  </si>
  <si>
    <t>3|2|化妆包|人造革+PVC|AV-CMB-Grey-Mini</t>
  </si>
  <si>
    <t>AV-CMB-Grey-M</t>
  </si>
  <si>
    <t>3|2|化妆包|人造革+PVC|AV-CMB-Grey-M</t>
  </si>
  <si>
    <t>AV-CMB-Grey-L</t>
  </si>
  <si>
    <t>3|2|化妆包|人造革+PVC|AV-CMB-Grey-L</t>
  </si>
  <si>
    <t>AV-CMB-DL-Grey</t>
  </si>
  <si>
    <t>3|2|化妆包|人造革+PVC|AV-CMB-DL-Grey</t>
  </si>
  <si>
    <t>AV-CMB-Grey-Thin</t>
  </si>
  <si>
    <t>3|2|化妆包|人造革+PVC|AV-CMB-Grey-Thin</t>
  </si>
  <si>
    <t>AV-CMB-PitayaPink-Thin</t>
  </si>
  <si>
    <t>3|2|化妆包|人造革+PVC|AV-CMB-PitayaPink-Thin</t>
  </si>
  <si>
    <t>AV-CMB-Lilac-Thin</t>
  </si>
  <si>
    <t>3|2|化妆包|人造革+PVC|AV-CMB-Lilac-Thin</t>
  </si>
  <si>
    <t>AV-CMB-Brown</t>
  </si>
  <si>
    <t>3|2|化妆包|人造革+PVC|AV-CMB-Brown</t>
  </si>
  <si>
    <t>AV-CMB-W-Mini-Midi</t>
  </si>
  <si>
    <t>3|2|化妆包|人造革+PVC|AV-CMB-W-Mini-Midi</t>
  </si>
  <si>
    <t>AV-CMB-Taupe-Mini-Midi</t>
  </si>
  <si>
    <t>3|2|化妆包|人造革+PVC|AV-CMB-Taupe-Mini-Midi</t>
  </si>
  <si>
    <t>AV-CMB-Pink-Mini-Midi</t>
  </si>
  <si>
    <t>3|2|化妆包|人造革+PVC|AV-CMB-Pink-Mini-Midi</t>
  </si>
  <si>
    <t>AV-CMB-Black-Mini-Midi</t>
  </si>
  <si>
    <t>3|2|化妆包|人造革+PVC|AV-CMB-Black-Mini-Midi</t>
  </si>
  <si>
    <t>AV-LCMB-White1</t>
  </si>
  <si>
    <t>3|2|化妆包|人造革+PVC|AV-LCMB-White1</t>
  </si>
  <si>
    <t>AV-LCMB-Pink1</t>
  </si>
  <si>
    <t>3|2|化妆包|人造革+PVC|AV-LCMB-Pink1</t>
  </si>
  <si>
    <t>AV-LCMB-Black1</t>
  </si>
  <si>
    <t>3|2|化妆包|人造革+PVC|AV-LCMB-Black1</t>
  </si>
  <si>
    <t>AV-FL-Flower</t>
  </si>
  <si>
    <t>0|2|化妆包|人造革|AV-FL-Flower</t>
  </si>
  <si>
    <t>AV-FL-Flamingo</t>
  </si>
  <si>
    <t>0|2|化妆包|人造革|AV-FL-Flamingo</t>
  </si>
  <si>
    <t>AV-FL-Cat</t>
  </si>
  <si>
    <t>0|2|化妆包|人造革|AV-FL-Cat</t>
  </si>
  <si>
    <t>AV-FL-Bunny</t>
  </si>
  <si>
    <t>0|2|化妆包|人造革|AV-FL-Bunny</t>
  </si>
  <si>
    <t>AV-FL-MoonCat</t>
  </si>
  <si>
    <t>0|2|化妆包|人造革|AV-FL-MoonCat</t>
  </si>
  <si>
    <t>AV-FL-Otter</t>
  </si>
  <si>
    <t>0|2|化妆包|人造革|AV-FL-Otter</t>
  </si>
  <si>
    <t>AV-CrossB-White</t>
  </si>
  <si>
    <t>斜挎包</t>
  </si>
  <si>
    <t>3|2|运动包|人造革+PVC|AV-CrossB-White</t>
  </si>
  <si>
    <t>AV-CrossB-Black</t>
  </si>
  <si>
    <t>3|2|运动包|人造革+PVC|AV-CrossB-Black</t>
  </si>
  <si>
    <t>AV-CrossB-White-S1</t>
  </si>
  <si>
    <t>3|2|运动包|人造革+PVC|AV-CrossB-White-S1</t>
  </si>
  <si>
    <t>AV-CrossB-Black-S1</t>
  </si>
  <si>
    <t>3|2|运动包|人造革+PVC|AV-CrossB-Black-S1</t>
  </si>
  <si>
    <t>AV-CrossB-Beige</t>
  </si>
  <si>
    <t>3|2|运动包|人造革+PVC|AV-CrossB-Beige</t>
  </si>
  <si>
    <t>AV-CrossB-Pink</t>
  </si>
  <si>
    <t>3|2|运动包|人造革+PVC|AV-CrossB-Pink</t>
  </si>
  <si>
    <t>AV-CrossB-Orange</t>
  </si>
  <si>
    <t>3|2|运动包|人造革+PVC|AV-CrossB-Orange</t>
  </si>
  <si>
    <t>AV-CrossB-Blue</t>
  </si>
  <si>
    <t>3|2|运动包|人造革+PVC|AV-CrossB-Blue</t>
  </si>
  <si>
    <t>AV-CrossB-Gold</t>
  </si>
  <si>
    <t>3|2|运动包|人造革+PVC|AV-CrossB-Gold</t>
  </si>
  <si>
    <t>AV-CrossB-White-OrangeFlower</t>
  </si>
  <si>
    <t>3|2|运动包|人造革+PVC|AV-CrossB-White-OrangeFlower</t>
  </si>
  <si>
    <t>AV-CrossB-Black-BlueFlower</t>
  </si>
  <si>
    <t>3|2|运动包|人造革+PVC|AV-CrossB-Black-BlueFlower</t>
  </si>
  <si>
    <t>AV-PTB-Kakhi</t>
  </si>
  <si>
    <t>3|2|运动包|涤纶|AV-PTB-Kakhi</t>
  </si>
  <si>
    <t>AV-PTB-Black</t>
  </si>
  <si>
    <t>3|2|运动包|涤纶|AV-PTB-Black</t>
  </si>
  <si>
    <t>AV-PTB-Pink</t>
  </si>
  <si>
    <t>3|2|运动包|涤纶|AV-PTB-Pink</t>
  </si>
  <si>
    <t>AV-CTB-BlueWhite-M</t>
  </si>
  <si>
    <t>帆布包</t>
  </si>
  <si>
    <t>3|2|运动包|帆布(棉60%，涤纶40%)|AV-CTB-BlueWhite-M</t>
  </si>
  <si>
    <t>AV-CTB-RedWhite-M</t>
  </si>
  <si>
    <t>3|2|运动包|帆布(棉60%，涤纶40%)|AV-CTB-RedWhite-M</t>
  </si>
  <si>
    <t>AV-CNP-Sand</t>
  </si>
  <si>
    <t>0|2|化妆包|尼龙+PVC|AV-CNP-Sand</t>
  </si>
  <si>
    <t>AV-CNP-Black</t>
  </si>
  <si>
    <t>0|2|化妆包|尼龙+PVC|AV-CNP-Black</t>
  </si>
  <si>
    <t>AV-CNP-Pink</t>
  </si>
  <si>
    <t>0|2|化妆包|尼龙+PVC|AV-CNP-Pink</t>
  </si>
  <si>
    <t>AV-CNP-Green</t>
  </si>
  <si>
    <t>0|2|化妆包|尼龙+PVC|AV-CNP-Green</t>
  </si>
  <si>
    <t>AV-CNP-Red</t>
  </si>
  <si>
    <t>0|2|化妆包|尼龙+PVC|AV-CNP-Red</t>
  </si>
  <si>
    <t>AV-CNP-Purple</t>
  </si>
  <si>
    <t>0|2|化妆包|尼龙+PVC|AV-CNP-Purple</t>
  </si>
  <si>
    <t>AV-CNP-Cream</t>
  </si>
  <si>
    <t>0|2|化妆包|尼龙+PVC|AV-CNP-Cream</t>
  </si>
  <si>
    <t>AV-CNP-Sand-M</t>
  </si>
  <si>
    <t>0|2|化妆包|尼龙+PVC|AV-CNP-Sand-M</t>
  </si>
  <si>
    <t>AV-CNP-Black-M</t>
  </si>
  <si>
    <t>0|2|化妆包|尼龙+PVC|AV-CNP-Black-M</t>
  </si>
  <si>
    <t>AV-MZP-Cream-S</t>
  </si>
  <si>
    <t>3|2|化妆包|人造革|AV-MZP-Cream-S</t>
  </si>
  <si>
    <t>AV-MZP-Gold-S</t>
  </si>
  <si>
    <t>3|2|化妆包|人造革|AV-MZP-Gold-S</t>
  </si>
  <si>
    <t>AV-MZP-Pink-S</t>
  </si>
  <si>
    <t>3|2|化妆包|人造革|AV-MZP-Pink-S</t>
  </si>
  <si>
    <t>AV-MZP-DustyRose-S</t>
  </si>
  <si>
    <t>3|2|化妆包|人造革|AV-MZP-DustyRose-S</t>
  </si>
  <si>
    <t>AV-MZP-Camel-S</t>
  </si>
  <si>
    <t>3|2|化妆包|人造革|AV-MZP-Camel-S</t>
  </si>
  <si>
    <t>AV-MZP-Brown-S</t>
  </si>
  <si>
    <t>3|2|化妆包|人造革|AV-MZP-Brown-S</t>
  </si>
  <si>
    <t>VS-VRGC-VWJS</t>
  </si>
  <si>
    <t>3|2|化妆包|人造革|VS-VRGC-VWJS</t>
  </si>
  <si>
    <t>AV-MZP-Black-S</t>
  </si>
  <si>
    <t>3|2|化妆包|人造革|AV-MZP-Black-S</t>
  </si>
  <si>
    <t>0I-AXQL-BREA</t>
  </si>
  <si>
    <t>3|2|化妆包|人造革|0I-AXQL-BREA</t>
  </si>
  <si>
    <t>O2-BE2U-H44U</t>
  </si>
  <si>
    <t>3|2|化妆包|人造革|O2-BE2U-H44U</t>
  </si>
  <si>
    <t>AV-BB-Black</t>
  </si>
  <si>
    <t>3|2|斜挎包|人造革+PVC|AV-CrossB-White</t>
  </si>
  <si>
    <t>AV-BB-Blue</t>
  </si>
  <si>
    <t>AV-BB-Pink</t>
  </si>
  <si>
    <t>AV-BB-Purple</t>
  </si>
  <si>
    <t>AV-CDC-W1</t>
  </si>
  <si>
    <t>收纳架</t>
  </si>
  <si>
    <t>0|2|收纳架|PET|AV-CDC-W1</t>
  </si>
  <si>
    <t>AV-CDC-W2-0</t>
  </si>
  <si>
    <t>0|2|收纳架|PET|AV-CDC-W2-0</t>
  </si>
  <si>
    <t>AV-CDC-Brush-W2</t>
  </si>
  <si>
    <t>0|2|收纳架|PET|AV-CDC-Brush-W2</t>
  </si>
  <si>
    <t>AV-CDC-W3</t>
  </si>
  <si>
    <t>0|2|收纳架|PET|AV-CDC-W3</t>
  </si>
  <si>
    <t>AV-CDC-Brush-W3</t>
  </si>
  <si>
    <t>0|2|收纳架|PET|AV-CDC-Brush-W3</t>
  </si>
  <si>
    <t>AV-CDC-BLACK2</t>
  </si>
  <si>
    <t>0|2|收纳架|PET|AV-CDC-BLACK2</t>
  </si>
  <si>
    <t>AV-CDC-BLACK3</t>
  </si>
  <si>
    <t>0|2|收纳架|PET|AV-CDC-BLACK3</t>
  </si>
  <si>
    <t>AV-CDC-Pink</t>
  </si>
  <si>
    <t>0|2|收纳架|PET|AV-CDC-Pink</t>
  </si>
  <si>
    <t>AV-CDC-Pink3</t>
  </si>
  <si>
    <t>0|2|收纳架|PET|AV-CDC-Pink3</t>
  </si>
  <si>
    <t>AV-CDC-GOLD1</t>
  </si>
  <si>
    <t>0|2|收纳架|PET|AV-CDC-GOLD1</t>
  </si>
  <si>
    <t>AV-CDC-GOLD2</t>
  </si>
  <si>
    <t>0|2|收纳架|PET|AV-CDC-GOLD2</t>
  </si>
  <si>
    <t>AV-CDC-Brush-Gold2</t>
  </si>
  <si>
    <t>0|2|收纳架|PET|AV-CDC-Brush-Gold2</t>
  </si>
  <si>
    <t>AV-CDC-GOLD3</t>
  </si>
  <si>
    <t>0|2|收纳架|PET|AV-CDC-GOLD3</t>
  </si>
  <si>
    <t>AV-CDC-Brush-Gold3</t>
  </si>
  <si>
    <t>0|2|收纳架|PET|AV-CDC-Brush-Gold3</t>
  </si>
  <si>
    <t>AV-CDC-G1</t>
  </si>
  <si>
    <t>0|2|收纳架|PET|AV-CDC-G1</t>
  </si>
  <si>
    <t>AV-CDC-G2</t>
  </si>
  <si>
    <t>0|2|收纳架|PET|AV-CDC-G2</t>
  </si>
  <si>
    <t>AV-CDC-Brush-Green2</t>
  </si>
  <si>
    <t>0|2|收纳架|PET|AV-CDC-Brush-Green2</t>
  </si>
  <si>
    <t>AV-CDC-G3</t>
  </si>
  <si>
    <t>0|2|收纳架|PET|AV-CDC-G3</t>
  </si>
  <si>
    <t>AV-CDC-Brush-Green3</t>
  </si>
  <si>
    <t>0|2|收纳架|PET|AV-CDC-Brush-Green3</t>
  </si>
  <si>
    <t>AV-CDC-GREY1</t>
  </si>
  <si>
    <t>0|2|收纳架|PET|AV-CDC-GREY1</t>
  </si>
  <si>
    <t>AV-CDC-GREY2</t>
  </si>
  <si>
    <t>0|2|收纳架|PET|AV-CDC-GREY2</t>
  </si>
  <si>
    <t>AV-CDC-Brush-GREY2</t>
  </si>
  <si>
    <t>0|2|收纳架|PET|AV-CDC-Brush-GREY2</t>
  </si>
  <si>
    <t>AV-CDC-GREY3</t>
  </si>
  <si>
    <t>0|2|收纳架|PET|AV-CDC-GREY3</t>
  </si>
  <si>
    <t>AV-CDC-Brush-Grey3</t>
  </si>
  <si>
    <t>0|2|收纳架|PET|AV-CDC-Brush-Grey3</t>
  </si>
  <si>
    <t>AV-CDC-Purple2</t>
  </si>
  <si>
    <t>0|2|收纳架|PET|AV-CDC-Purple2</t>
  </si>
  <si>
    <t>AV-CDC-Purple3</t>
  </si>
  <si>
    <t>0|2|收纳架|PET|AV-CDC-Purple3</t>
  </si>
  <si>
    <t>AV-CDC-Brown2</t>
  </si>
  <si>
    <t>0|2|收纳架|PET|AV-CDC-Brown2</t>
  </si>
  <si>
    <t>AV-CDC-Brown3</t>
  </si>
  <si>
    <t>0|2|收纳架|PET|AV-CDC-Brown3</t>
  </si>
  <si>
    <t>AV-BCO-W2</t>
  </si>
  <si>
    <t>置物架</t>
  </si>
  <si>
    <t>0|2|置物架|PS|AV-BCO-W2</t>
  </si>
  <si>
    <t>AV-BCO-W3</t>
  </si>
  <si>
    <t>0|2|置物架|PS|AV-BCO-W3</t>
  </si>
  <si>
    <t>AV-BCO-Gold2</t>
  </si>
  <si>
    <t>0|2|置物架|PS|AV-BCO-Gold2</t>
  </si>
  <si>
    <t>AV-BCO-Gold3</t>
  </si>
  <si>
    <t>0|2|置物架|PS|AV-BCO-Gold3</t>
  </si>
  <si>
    <t>AV-BCO-Green2</t>
  </si>
  <si>
    <t>0|2|置物架|PS|AV-BCO-Green2</t>
  </si>
  <si>
    <t>AV-BCO-Green3</t>
  </si>
  <si>
    <t>0|2|置物架|PS|AV-BCO-Green3</t>
  </si>
  <si>
    <t>AV-BCO-Grey2</t>
  </si>
  <si>
    <t>0|2|置物架|PS|AV-BCO-Grey2</t>
  </si>
  <si>
    <t>AV-BCO-Grey3</t>
  </si>
  <si>
    <t>0|2|置物架|PS|AV-BCO-Grey3</t>
  </si>
  <si>
    <t>AV-MOD-White</t>
  </si>
  <si>
    <t>化妆盒</t>
  </si>
  <si>
    <t>0|2|化妆盒|ABS|AV-MOD-White</t>
  </si>
  <si>
    <t>AV-MOD-Pink</t>
  </si>
  <si>
    <t>0|2|化妆盒|ABS|AV-MOD-Pink</t>
  </si>
  <si>
    <t>AV-MOD-Cream</t>
  </si>
  <si>
    <t>0|2|化妆盒|ABS|AV-MOD-Cream</t>
  </si>
  <si>
    <t>AV-MOD-Black</t>
  </si>
  <si>
    <t>0|2|化妆盒|ABS|AV-MOD-Black</t>
  </si>
  <si>
    <t>AV-MOD-Green</t>
  </si>
  <si>
    <t>0|2|化妆盒|ABS|AV-MOD-Green</t>
  </si>
  <si>
    <t>AV-BBB-Gold2</t>
  </si>
  <si>
    <t>0|2|收纳架|PET|AV-BBB-Gold2</t>
  </si>
  <si>
    <t>AV-BBB-Gold3</t>
  </si>
  <si>
    <t>0|2|收纳架|PET|AV-BBB-Gold3</t>
  </si>
  <si>
    <t>AV-BBB-Gold3-Plus</t>
  </si>
  <si>
    <t>AV-BBB-Green2</t>
  </si>
  <si>
    <t>0|2|收纳架|PET|AV-BBB-Green2</t>
  </si>
  <si>
    <t>AV-BBB-Green3</t>
  </si>
  <si>
    <t>0|2|收纳架|PET|AV-BBB-Green3</t>
  </si>
  <si>
    <t>AV-BBB-Green3-Plus</t>
  </si>
  <si>
    <t>0|2|收纳架|PET|AV-BBB-Green3-Plus</t>
  </si>
  <si>
    <t>AV-BBB-W2</t>
  </si>
  <si>
    <t>0|2|收纳架|PET|AV-BBB-W2</t>
  </si>
  <si>
    <t>AV-BBB-W3</t>
  </si>
  <si>
    <t>0|2|收纳架|PET|AV-BBB-W3</t>
  </si>
  <si>
    <t>AV-BBB-W3-Plus</t>
  </si>
  <si>
    <t>0|2|收纳架|PET|AV-BBB-W3-Plus</t>
  </si>
  <si>
    <t>AV-BBB-Grey2</t>
  </si>
  <si>
    <t>0|2|收纳架|PET|AV-BBB-Grey2</t>
  </si>
  <si>
    <t>AV-BBB-Grey3</t>
  </si>
  <si>
    <t>0|2|收纳架|PET|AV-BBB-Grey3</t>
  </si>
  <si>
    <t>AV-BBB-Grey3-Plus</t>
  </si>
  <si>
    <t>0|2|收纳架|PET|AV-BBB-Grey3-Plus</t>
  </si>
  <si>
    <t>AV-CSD-Gold</t>
  </si>
  <si>
    <t>0|2|化妆盒|ABS|AV-CSD-Gold</t>
  </si>
  <si>
    <t>AV-CSD-Clear</t>
  </si>
  <si>
    <t>0|2|化妆盒|ABS|AV-CSD-Clear</t>
  </si>
  <si>
    <t>AV-CSD-Green</t>
  </si>
  <si>
    <t>0|2|化妆盒|ABS|AV-CSD-Green</t>
  </si>
  <si>
    <t>AV-CSD-Grey</t>
  </si>
  <si>
    <t>0|2|化妆盒|ABS|AV-CSD-Grey</t>
  </si>
  <si>
    <t>AV-CSD-Smoked Black</t>
  </si>
  <si>
    <t>0|2|化妆盒|ABS|AV-CSD-Smoked Black</t>
  </si>
  <si>
    <t>AV-CSD-White</t>
  </si>
  <si>
    <t>0|2|化妆盒|ABS|AV-CSD-White</t>
  </si>
  <si>
    <t>RO-SD-1</t>
  </si>
  <si>
    <t>衣柜隔板</t>
  </si>
  <si>
    <t>0|2|衣柜隔板|PS|Roufa|RO-SD-1</t>
  </si>
  <si>
    <t>RO-SD-8-NEW</t>
  </si>
  <si>
    <t>0|2|衣柜隔板|PS|Roufa|RO-SD-8-NEW</t>
  </si>
  <si>
    <t>RO-SD-12-NEW</t>
  </si>
  <si>
    <t>0|2|衣柜隔板|PS|Roufa|RO-SD-12-NEW</t>
  </si>
  <si>
    <t>RO-SD-8</t>
  </si>
  <si>
    <t>0|2|衣柜隔板|PS|Roufa|RO-SD-8</t>
  </si>
  <si>
    <t>RO-SD-12P</t>
  </si>
  <si>
    <t>0|2|衣柜隔板|PS|Roufa|RO-SD-12P</t>
  </si>
  <si>
    <t>RO-SD-B</t>
  </si>
  <si>
    <t>0|2|衣柜隔板|PS|Roufa|RO-SD-B</t>
  </si>
  <si>
    <t>RO-SD-Black-8P</t>
  </si>
  <si>
    <t>0|2|衣柜隔板|PS|Roufa|RO-SD-Black-8P</t>
  </si>
  <si>
    <t>RO-HS-62</t>
  </si>
  <si>
    <t>抽屉隔板</t>
  </si>
  <si>
    <t>0|2|抽屉隔板|PS|Roufa|RO-HS-62</t>
  </si>
  <si>
    <t>J0-FJMG-N26B</t>
  </si>
  <si>
    <t>0|2|抽屉隔板|PS|Roufa|J0-FJMG-N26B</t>
  </si>
  <si>
    <t>EG-AU0N-OBNQ</t>
  </si>
  <si>
    <t>0|2|抽屉隔板|PS|Roufa|EG-AU0N-OBNQ</t>
  </si>
  <si>
    <t>ZN-AZC2-12EJ</t>
  </si>
  <si>
    <t>0|2|抽屉隔板|PS|Roufa|ZN-AZC2-12EJ</t>
  </si>
  <si>
    <t>RO-HS-Grey2</t>
  </si>
  <si>
    <t>0|2|抽屉隔板|PS|Roufa|RO-HS-Grey2</t>
  </si>
  <si>
    <t>RO-HS-Grey4</t>
  </si>
  <si>
    <t>0|2|抽屉隔板|PS|Roufa|RO-HS-Grey4</t>
  </si>
  <si>
    <t>RO-HS-64</t>
  </si>
  <si>
    <t>0|2|抽屉隔板|PS|Roufa|RO-HS-64</t>
  </si>
  <si>
    <t>仓库编码</t>
  </si>
  <si>
    <t>州省</t>
  </si>
  <si>
    <t>邮编</t>
  </si>
  <si>
    <t>地址</t>
  </si>
  <si>
    <t>完整地址</t>
  </si>
  <si>
    <t>目的港</t>
  </si>
  <si>
    <t>country</t>
  </si>
  <si>
    <t>Destination</t>
  </si>
  <si>
    <t>美国</t>
  </si>
  <si>
    <t>SBD2</t>
  </si>
  <si>
    <t xml:space="preserve"> CA</t>
  </si>
  <si>
    <t>1494 S Waterman Ave, San Bernardino</t>
  </si>
  <si>
    <t>502</t>
  </si>
  <si>
    <t>XXX</t>
  </si>
  <si>
    <t>USA</t>
  </si>
  <si>
    <t>PSC2</t>
  </si>
  <si>
    <t>WA</t>
  </si>
  <si>
    <t>99301</t>
  </si>
  <si>
    <t>1351 S Road 40 E</t>
  </si>
  <si>
    <t>GEG2</t>
  </si>
  <si>
    <t>99216-6102</t>
  </si>
  <si>
    <t>18007 E Garland Ave</t>
  </si>
  <si>
    <t>BFI1</t>
  </si>
  <si>
    <t>98390</t>
  </si>
  <si>
    <t>1800 140th Avenue E.</t>
  </si>
  <si>
    <t>BFI7</t>
  </si>
  <si>
    <t>1901 140th Ave E</t>
  </si>
  <si>
    <t>BFI3</t>
  </si>
  <si>
    <t>98327-9607</t>
  </si>
  <si>
    <t>2700 Center Drive</t>
  </si>
  <si>
    <t>BFI9</t>
  </si>
  <si>
    <t>98327-7707</t>
  </si>
  <si>
    <t>3230 INTERNATIONAL PL, DUPONT</t>
  </si>
  <si>
    <t>BFI4</t>
  </si>
  <si>
    <t>98032</t>
  </si>
  <si>
    <t>21005 64th Ave S</t>
  </si>
  <si>
    <t>PDX7</t>
  </si>
  <si>
    <t>OR</t>
  </si>
  <si>
    <t>97317</t>
  </si>
  <si>
    <t>4775 Depot Ct SE</t>
  </si>
  <si>
    <t>PSC2-UPS</t>
  </si>
  <si>
    <t>97242</t>
  </si>
  <si>
    <t>9930 NE Alderwood Rd</t>
  </si>
  <si>
    <t>PDX6</t>
  </si>
  <si>
    <t>97203</t>
  </si>
  <si>
    <t>15000 N. Lombard St</t>
  </si>
  <si>
    <t>SMF6</t>
  </si>
  <si>
    <t xml:space="preserve">CA </t>
  </si>
  <si>
    <t>95837-1109</t>
  </si>
  <si>
    <t xml:space="preserve">6900 AIRPORT BLVD City SACRAMENTO </t>
  </si>
  <si>
    <t>SMF1</t>
  </si>
  <si>
    <t>CA</t>
  </si>
  <si>
    <t>95835-9505</t>
  </si>
  <si>
    <t>4900 W Elkhorn Blvd</t>
  </si>
  <si>
    <t>MCC1</t>
  </si>
  <si>
    <t>95742</t>
  </si>
  <si>
    <t>3300 Rancho Cordova Pkwy</t>
  </si>
  <si>
    <t>SMF7</t>
  </si>
  <si>
    <t>95688-9626</t>
  </si>
  <si>
    <t>4800 MIDDAY ROAD</t>
  </si>
  <si>
    <t>MCE1</t>
  </si>
  <si>
    <t>95380</t>
  </si>
  <si>
    <t>3200 Fulkerth Rd, Turlock</t>
  </si>
  <si>
    <t>SJC7</t>
  </si>
  <si>
    <t>95377-8906</t>
  </si>
  <si>
    <t>188 Mountain House Parkway</t>
  </si>
  <si>
    <t>OAK3</t>
  </si>
  <si>
    <t>95363-8876</t>
  </si>
  <si>
    <t>255 Park Center Drive</t>
  </si>
  <si>
    <t>SCK3</t>
  </si>
  <si>
    <t>95336-8696</t>
  </si>
  <si>
    <t>3565 N AIRPORT WAY</t>
  </si>
  <si>
    <t>SCK1</t>
  </si>
  <si>
    <t>95215-9465</t>
  </si>
  <si>
    <t>4532 NEWCASTLE RD</t>
  </si>
  <si>
    <t>SCK4</t>
  </si>
  <si>
    <t>95215</t>
  </si>
  <si>
    <t>SCK4 - 6001 S AUSTIN RD 95215-8354 - STOCKTON</t>
  </si>
  <si>
    <t>QXY5</t>
  </si>
  <si>
    <t>TCY2</t>
  </si>
  <si>
    <t>6201 Newcastle Rd</t>
  </si>
  <si>
    <t>SMF3</t>
  </si>
  <si>
    <t>95206-8202</t>
  </si>
  <si>
    <t>3923 S B ST</t>
  </si>
  <si>
    <t>TCY1</t>
  </si>
  <si>
    <t>95206</t>
  </si>
  <si>
    <t>2690 East Arch Airport Road</t>
  </si>
  <si>
    <t>HLI2</t>
  </si>
  <si>
    <t>95023</t>
  </si>
  <si>
    <t>600 Ernie Drive 95023</t>
  </si>
  <si>
    <t>HLI2-UPS</t>
  </si>
  <si>
    <t>94621</t>
  </si>
  <si>
    <t>8410 PARDEE DR.</t>
  </si>
  <si>
    <t>SCK8-UPS</t>
  </si>
  <si>
    <t>SCK8 via UPS Oakand,8436 Pardee Dr, Oakland</t>
  </si>
  <si>
    <t>SCK8</t>
  </si>
  <si>
    <t>AVE</t>
  </si>
  <si>
    <t>94561</t>
  </si>
  <si>
    <t>4700 WILBUR AVE</t>
  </si>
  <si>
    <t>QXY8</t>
  </si>
  <si>
    <t>93725-1962</t>
  </si>
  <si>
    <t>3611 S NORTHPOINTE DR</t>
  </si>
  <si>
    <t>BFL1</t>
  </si>
  <si>
    <t>93308-9755</t>
  </si>
  <si>
    <t>1601 Petrol Road</t>
  </si>
  <si>
    <t>FAT2</t>
  </si>
  <si>
    <t>93291</t>
  </si>
  <si>
    <t>3315 N Kelsey St, Visalia</t>
  </si>
  <si>
    <t>MIT2-UPS</t>
  </si>
  <si>
    <t>3256 N Plaza Dr</t>
  </si>
  <si>
    <t>BFL2</t>
  </si>
  <si>
    <t>93263-2246</t>
  </si>
  <si>
    <t>4500 EXPRESS AVE 93263-2246 - SHAFTER</t>
  </si>
  <si>
    <t>MIT2</t>
  </si>
  <si>
    <t>93263</t>
  </si>
  <si>
    <t>5408 Express Avenue</t>
  </si>
  <si>
    <t>KRB4</t>
  </si>
  <si>
    <t>92571-9722</t>
  </si>
  <si>
    <t>Finsterwalder Transport und Logistik GmbH , Schieferstrabe 16</t>
  </si>
  <si>
    <t>LGB9</t>
  </si>
  <si>
    <t>92571-7901</t>
  </si>
  <si>
    <t>4375 N Perris Blvd</t>
  </si>
  <si>
    <t>ONT6</t>
  </si>
  <si>
    <t>92551</t>
  </si>
  <si>
    <t>24208 San Michele Rd</t>
  </si>
  <si>
    <t>ONT8</t>
  </si>
  <si>
    <t>24300 Nandina Ave</t>
  </si>
  <si>
    <t>LGB6</t>
  </si>
  <si>
    <t>92518-1513</t>
  </si>
  <si>
    <t>20901 Krameria Ave</t>
  </si>
  <si>
    <t>VGT2-UPS备用</t>
  </si>
  <si>
    <t>92518</t>
  </si>
  <si>
    <t>20701 Krameria Avenue</t>
  </si>
  <si>
    <t>PSP3-UPS</t>
  </si>
  <si>
    <t>20821 Krameria Avenue</t>
  </si>
  <si>
    <t>POC3</t>
  </si>
  <si>
    <t>92509</t>
  </si>
  <si>
    <t>6120 Clinker Drive</t>
  </si>
  <si>
    <t>POC3-UPS</t>
  </si>
  <si>
    <t>92508</t>
  </si>
  <si>
    <t>6120 Clinker Dr</t>
  </si>
  <si>
    <t>ONT5</t>
  </si>
  <si>
    <t>92408-2606</t>
  </si>
  <si>
    <t>2020 E Central Ave, San Bernardino</t>
  </si>
  <si>
    <t>ONT2</t>
  </si>
  <si>
    <t>92408-0123</t>
  </si>
  <si>
    <t>1910 E central Ave</t>
  </si>
  <si>
    <t>KRB1</t>
  </si>
  <si>
    <t>92408</t>
  </si>
  <si>
    <t>6001 Bethlehem Blvd</t>
  </si>
  <si>
    <t>JOT1</t>
  </si>
  <si>
    <t>1494 S WATERMAN AVE</t>
  </si>
  <si>
    <t>SBD3</t>
  </si>
  <si>
    <t>92407</t>
  </si>
  <si>
    <t>5990 Cajon Blvd</t>
  </si>
  <si>
    <t>XLX7</t>
  </si>
  <si>
    <t>92394</t>
  </si>
  <si>
    <t>18580 Gateway Dr</t>
  </si>
  <si>
    <t>SNA4</t>
  </si>
  <si>
    <t>92376-3009</t>
  </si>
  <si>
    <t>2496 W Walnut Ave</t>
  </si>
  <si>
    <t>LGB7</t>
  </si>
  <si>
    <t>92376-2427</t>
  </si>
  <si>
    <t>1660 N. Linden Avenue</t>
  </si>
  <si>
    <t>LGB8</t>
  </si>
  <si>
    <t>92376</t>
  </si>
  <si>
    <t>1568 N Linden Ave</t>
  </si>
  <si>
    <t>ONT9</t>
  </si>
  <si>
    <t>92374</t>
  </si>
  <si>
    <t>2125 W.San Bernandino Ave</t>
  </si>
  <si>
    <t>LGB4</t>
  </si>
  <si>
    <t>27517 Pioneer Avenue</t>
  </si>
  <si>
    <t>XLG1</t>
  </si>
  <si>
    <t>1901 California St</t>
  </si>
  <si>
    <t>XON1</t>
  </si>
  <si>
    <t>2290 Palmetto Ave 92374 - Redlands</t>
  </si>
  <si>
    <t>LAX9</t>
  </si>
  <si>
    <t>92337</t>
  </si>
  <si>
    <t>11263 Oleander Ave</t>
  </si>
  <si>
    <t>POC1</t>
  </si>
  <si>
    <t>92336-1123</t>
  </si>
  <si>
    <t>4121 LYTLE CREEK RD</t>
  </si>
  <si>
    <t>SBD1</t>
  </si>
  <si>
    <t>92316-3819</t>
  </si>
  <si>
    <t>3388 S Cactus Ave</t>
  </si>
  <si>
    <t>PSP3</t>
  </si>
  <si>
    <t>92240</t>
  </si>
  <si>
    <t>64165 19th AVE 92240 - DESERT HOT SPRINGS</t>
  </si>
  <si>
    <t>POC2</t>
  </si>
  <si>
    <t>91761</t>
  </si>
  <si>
    <t>4000 South Hamner Avenue</t>
  </si>
  <si>
    <t>LGB3</t>
  </si>
  <si>
    <t>91752-5087</t>
  </si>
  <si>
    <t>4501 PATTERSON AVE</t>
  </si>
  <si>
    <t>SNA6</t>
  </si>
  <si>
    <t>91752</t>
  </si>
  <si>
    <t>5250 Goodman Road</t>
  </si>
  <si>
    <t>MAG1</t>
  </si>
  <si>
    <t>90045</t>
  </si>
  <si>
    <t>6855 S La Cienega Blvd, Los Angeles</t>
  </si>
  <si>
    <t>RNO4</t>
  </si>
  <si>
    <t>NV</t>
  </si>
  <si>
    <t>89506</t>
  </si>
  <si>
    <t>8000 North Virginia Street</t>
  </si>
  <si>
    <t>IVSF</t>
  </si>
  <si>
    <t>89115-3477</t>
  </si>
  <si>
    <t>2821 MARION DR STE 109</t>
  </si>
  <si>
    <t>IVSE</t>
  </si>
  <si>
    <t>89115-3467</t>
  </si>
  <si>
    <t>2951 MARION DR UNIT 101</t>
  </si>
  <si>
    <t>LAS7</t>
  </si>
  <si>
    <t>Las Vegas</t>
  </si>
  <si>
    <t>89115-1935</t>
  </si>
  <si>
    <t>6001 East Tropical Parkway</t>
  </si>
  <si>
    <t>LAS6</t>
  </si>
  <si>
    <t>89115</t>
  </si>
  <si>
    <t>4550 Nexus Way</t>
  </si>
  <si>
    <t>VGT2</t>
  </si>
  <si>
    <t xml:space="preserve">6401 Howdy Wells Ave 89115-2013 - LAS VEGAS </t>
  </si>
  <si>
    <t>LAS1</t>
  </si>
  <si>
    <t>89044-8746</t>
  </si>
  <si>
    <t>12300 Bermuda Road</t>
  </si>
  <si>
    <t>ABQ2</t>
  </si>
  <si>
    <t>NM</t>
  </si>
  <si>
    <t>87031</t>
  </si>
  <si>
    <t>6251 Pioneer Trail NW</t>
  </si>
  <si>
    <t>GEU3</t>
  </si>
  <si>
    <t>AZ</t>
  </si>
  <si>
    <t>85396</t>
  </si>
  <si>
    <t>18900 W McDowell Road</t>
  </si>
  <si>
    <t>GYR2</t>
  </si>
  <si>
    <t>85395</t>
  </si>
  <si>
    <t>GYR2 - 17341 W MINNEZONA AVE 85395-7672 - GOODYEAR</t>
  </si>
  <si>
    <t>ABQ2-UPS备用</t>
  </si>
  <si>
    <t>16601 W. SELLS DRIVE</t>
  </si>
  <si>
    <t>GEU5</t>
  </si>
  <si>
    <t>4660 North Cotton Lane</t>
  </si>
  <si>
    <t>ABQ2-UPS备用(新)</t>
  </si>
  <si>
    <t xml:space="preserve">6251 Pioneer Trail Nw, Goodyear </t>
  </si>
  <si>
    <t>PHX5</t>
  </si>
  <si>
    <t>85338</t>
  </si>
  <si>
    <t>16920 W Commerce Drive</t>
  </si>
  <si>
    <t>GEU2</t>
  </si>
  <si>
    <t>85307</t>
  </si>
  <si>
    <t>15301 West Northern Avenue</t>
  </si>
  <si>
    <t>PHX6</t>
  </si>
  <si>
    <t>85043-8305</t>
  </si>
  <si>
    <t>4750 West Mohave St</t>
  </si>
  <si>
    <t>AZA4</t>
  </si>
  <si>
    <t>85043-7904</t>
  </si>
  <si>
    <t>3333 59th Ave</t>
  </si>
  <si>
    <t>GYR3</t>
  </si>
  <si>
    <t>85043-2356</t>
  </si>
  <si>
    <t xml:space="preserve">8181 W ROOSEVELT ST 85043-2356 - PHOENIX </t>
  </si>
  <si>
    <t>PHX3</t>
  </si>
  <si>
    <t>85043</t>
  </si>
  <si>
    <t>6835 West Buckeye Road</t>
  </si>
  <si>
    <t>PHX7</t>
  </si>
  <si>
    <t>800 N 75th Ave</t>
  </si>
  <si>
    <t>SLC3</t>
  </si>
  <si>
    <t>UT</t>
  </si>
  <si>
    <t>84116-4413</t>
  </si>
  <si>
    <t>355 N JOHN GLENN RD</t>
  </si>
  <si>
    <t>SLC2</t>
  </si>
  <si>
    <t>84081</t>
  </si>
  <si>
    <t>7148 W. Old Bingham Hwy 84081 - West Jordan</t>
  </si>
  <si>
    <t>DEN2</t>
  </si>
  <si>
    <t>CO</t>
  </si>
  <si>
    <t>80019</t>
  </si>
  <si>
    <t>22205 East 19th Ave</t>
  </si>
  <si>
    <t>DEN8</t>
  </si>
  <si>
    <t xml:space="preserve">CO </t>
  </si>
  <si>
    <t>80018</t>
  </si>
  <si>
    <t xml:space="preserve">Stafford Logistics Center Building 5, 21000 E 13th Ave, Aurora </t>
  </si>
  <si>
    <t>AMA1</t>
  </si>
  <si>
    <t>TX</t>
  </si>
  <si>
    <t>79108-7749</t>
  </si>
  <si>
    <t>8590 NE 24th Ave, Amarillo, TX 79108</t>
  </si>
  <si>
    <t>SAT2</t>
  </si>
  <si>
    <t>78666-8969</t>
  </si>
  <si>
    <t>1401 E McCarty Lane</t>
  </si>
  <si>
    <t>SAT6</t>
  </si>
  <si>
    <t xml:space="preserve">TX </t>
  </si>
  <si>
    <t>78666</t>
  </si>
  <si>
    <t xml:space="preserve">1346 Fortuna Road, SAN MARCOS </t>
  </si>
  <si>
    <t>SAT4</t>
  </si>
  <si>
    <t>78245-9512</t>
  </si>
  <si>
    <t xml:space="preserve">10384 W US HIGHWAY 90 78245-9512 - SAN ANTONIO </t>
  </si>
  <si>
    <t>SAT1</t>
  </si>
  <si>
    <t>78154-1461</t>
  </si>
  <si>
    <t>6000 Enterprise Avenue</t>
  </si>
  <si>
    <t>HOU8</t>
  </si>
  <si>
    <t>77545</t>
  </si>
  <si>
    <t>2303 Hurricane Lane, FRESNO</t>
  </si>
  <si>
    <t>HOU3</t>
  </si>
  <si>
    <t>77423-2769</t>
  </si>
  <si>
    <t>31555 Highway 90 E</t>
  </si>
  <si>
    <t>HOU1</t>
  </si>
  <si>
    <t>77338</t>
  </si>
  <si>
    <t>8120 Humble Westfield Rd</t>
  </si>
  <si>
    <t>HOU7</t>
  </si>
  <si>
    <t>77064-1111</t>
  </si>
  <si>
    <t>16225 Tomball Pkwy</t>
  </si>
  <si>
    <t>ITX2</t>
  </si>
  <si>
    <t>77040-1437</t>
  </si>
  <si>
    <t>6911 FAIRBANKS N HOUSTON RD</t>
  </si>
  <si>
    <t>HOU2</t>
  </si>
  <si>
    <t>77038-2324</t>
  </si>
  <si>
    <t>10550 Ella Blvd</t>
  </si>
  <si>
    <t>IAH3</t>
  </si>
  <si>
    <t>77032</t>
  </si>
  <si>
    <t xml:space="preserve">15525 Milner Road 77032 -HOUSTON </t>
  </si>
  <si>
    <t>FTW4</t>
  </si>
  <si>
    <t>76177-2517</t>
  </si>
  <si>
    <t>Fort Worth</t>
  </si>
  <si>
    <t>DFW7</t>
  </si>
  <si>
    <t>76177</t>
  </si>
  <si>
    <t>700 Westport Parkway</t>
  </si>
  <si>
    <t>FTW3</t>
  </si>
  <si>
    <t>15201 Heritage Pkwy</t>
  </si>
  <si>
    <t>AFW1</t>
  </si>
  <si>
    <t>76131-1694</t>
  </si>
  <si>
    <t>1851 NE LOOP 820 76131-1694 - FORT WORTH</t>
  </si>
  <si>
    <t>FTW6</t>
  </si>
  <si>
    <t>75261-4034</t>
  </si>
  <si>
    <t>2601 W Bethel Road</t>
  </si>
  <si>
    <t>DAL2</t>
  </si>
  <si>
    <t>75261</t>
  </si>
  <si>
    <t>2601 S. Airfield Drive</t>
  </si>
  <si>
    <t>FTW1</t>
  </si>
  <si>
    <t>75241</t>
  </si>
  <si>
    <t>33333 Lyndon B Johnson Freeway</t>
  </si>
  <si>
    <t>AFW5</t>
  </si>
  <si>
    <t>75180-1636</t>
  </si>
  <si>
    <t>AFW5 - 12374 LAKE JUNE RD 75180-1636 - BALCH SPRINGS</t>
  </si>
  <si>
    <t>FTW5</t>
  </si>
  <si>
    <t>75126-3566</t>
  </si>
  <si>
    <t>1475 AKRON WAY</t>
  </si>
  <si>
    <t>DFW9</t>
  </si>
  <si>
    <t>75063</t>
  </si>
  <si>
    <r>
      <rPr>
        <sz val="10"/>
        <color indexed="8"/>
        <rFont val="微软雅黑"/>
        <charset val="134"/>
      </rPr>
      <t>2700 Regent Blvd</t>
    </r>
    <r>
      <rPr>
        <sz val="10"/>
        <color indexed="8"/>
        <rFont val="Arial"/>
        <charset val="134"/>
      </rPr>
      <t xml:space="preserve">	</t>
    </r>
    <r>
      <rPr>
        <sz val="10"/>
        <color indexed="8"/>
        <rFont val="微软雅黑"/>
        <charset val="134"/>
      </rPr>
      <t>Irving TX 75063</t>
    </r>
  </si>
  <si>
    <t>DFW6</t>
  </si>
  <si>
    <t>75019</t>
  </si>
  <si>
    <t>940 W Bethel Road</t>
  </si>
  <si>
    <t>FTW2</t>
  </si>
  <si>
    <t>2701 W Bethel Rd</t>
  </si>
  <si>
    <t>FTW9</t>
  </si>
  <si>
    <t>944 West Sandy Lake Road</t>
  </si>
  <si>
    <t>OKC1</t>
  </si>
  <si>
    <t>OK</t>
  </si>
  <si>
    <t>73159-0003</t>
  </si>
  <si>
    <t>9201 S Portland Avenue</t>
  </si>
  <si>
    <t>OKC2</t>
  </si>
  <si>
    <t>OKC2-8991 S Portland Avenue 73159-0003-OKLAHOMA CITY</t>
  </si>
  <si>
    <t>LIT2</t>
  </si>
  <si>
    <t>AR</t>
  </si>
  <si>
    <t>72117-5026</t>
  </si>
  <si>
    <t>LIT2 - 13001 HIGHWAY 70 72117-5026 - NORTH LITTLE ROCK</t>
  </si>
  <si>
    <t>LFT1</t>
  </si>
  <si>
    <t>70520-5976</t>
  </si>
  <si>
    <t>3550 NE EVANGELINE TRWY</t>
  </si>
  <si>
    <t>ICT2</t>
  </si>
  <si>
    <t>67219-1410</t>
  </si>
  <si>
    <t>7130 N BROADWAY</t>
  </si>
  <si>
    <t>MCI1</t>
  </si>
  <si>
    <t>KS</t>
  </si>
  <si>
    <t>66219</t>
  </si>
  <si>
    <t>16851 W 113th St</t>
  </si>
  <si>
    <t>MCI5</t>
  </si>
  <si>
    <t>16851 W 113th St, Lenexa</t>
  </si>
  <si>
    <t>FOE1</t>
  </si>
  <si>
    <t>66109</t>
  </si>
  <si>
    <t>9400 LEAVENWORTH RD</t>
  </si>
  <si>
    <t>MKC6</t>
  </si>
  <si>
    <t>66102-3047</t>
  </si>
  <si>
    <t>6925 Riverview Avenue</t>
  </si>
  <si>
    <t>MKC4</t>
  </si>
  <si>
    <t>66021-9588</t>
  </si>
  <si>
    <t>19645 Waverly Rd</t>
  </si>
  <si>
    <t>STL3</t>
  </si>
  <si>
    <t>65738</t>
  </si>
  <si>
    <t>3200 E Sawyer Rd Republic, MO 65738</t>
  </si>
  <si>
    <t>MCI3</t>
  </si>
  <si>
    <t>MO</t>
  </si>
  <si>
    <t>64068</t>
  </si>
  <si>
    <t>2361 S. Withers Road</t>
  </si>
  <si>
    <t>STL6</t>
  </si>
  <si>
    <t>IL</t>
  </si>
  <si>
    <t>62025-2801</t>
  </si>
  <si>
    <t>3931 Lakeview Corporate Drive 62025-2801 - Edwardsville</t>
  </si>
  <si>
    <t>STL4</t>
  </si>
  <si>
    <t>62025</t>
  </si>
  <si>
    <t>3050 GATEWAY COMMERCE CENTER DR S</t>
  </si>
  <si>
    <t>HIL2</t>
  </si>
  <si>
    <t>60642-4204</t>
  </si>
  <si>
    <t>1111 N Cherry Ave</t>
  </si>
  <si>
    <t>MDW9</t>
  </si>
  <si>
    <t>60502</t>
  </si>
  <si>
    <t>2865 Duke Parkway</t>
  </si>
  <si>
    <t>IGQ2</t>
  </si>
  <si>
    <t>Illinois (IL)</t>
  </si>
  <si>
    <t>60484</t>
  </si>
  <si>
    <t>23257 S. Central Avenue     University Park</t>
  </si>
  <si>
    <t>MDW6</t>
  </si>
  <si>
    <t>60446-6529</t>
  </si>
  <si>
    <t>1125 W REMINGTON BLVD</t>
  </si>
  <si>
    <t>芝加哥-16675</t>
  </si>
  <si>
    <t>60441</t>
  </si>
  <si>
    <t>W. Prologis Parkway Suite 300</t>
  </si>
  <si>
    <t>MDW2</t>
  </si>
  <si>
    <t>60433-3280</t>
  </si>
  <si>
    <t>250 Emerald Drive</t>
  </si>
  <si>
    <t>ORD2</t>
  </si>
  <si>
    <t>60410-8758</t>
  </si>
  <si>
    <t>23714 W Amoco RdCHANNAHON, IL 60410-8758US (ORD2)</t>
  </si>
  <si>
    <t>ORD6</t>
  </si>
  <si>
    <t>60191</t>
  </si>
  <si>
    <t>1250 N Mittel Blvd</t>
  </si>
  <si>
    <t>RFD2</t>
  </si>
  <si>
    <t>60142</t>
  </si>
  <si>
    <t>RFD2 - 11500 Freeman Road 60142 - HUNTLEY</t>
  </si>
  <si>
    <t>RFD4</t>
  </si>
  <si>
    <t>11400 Venture Court</t>
  </si>
  <si>
    <t>MDW8</t>
  </si>
  <si>
    <t>60085</t>
  </si>
  <si>
    <t>1750 Bridge Drive</t>
  </si>
  <si>
    <t>MSP1</t>
  </si>
  <si>
    <t>MN</t>
  </si>
  <si>
    <t>55379</t>
  </si>
  <si>
    <t>2601 4th Avenue East</t>
  </si>
  <si>
    <t>MSP6</t>
  </si>
  <si>
    <t>55044</t>
  </si>
  <si>
    <t>9800 217TH ST W</t>
  </si>
  <si>
    <t>JVL1</t>
  </si>
  <si>
    <t>WI</t>
  </si>
  <si>
    <t>53511-9709</t>
  </si>
  <si>
    <t>1255 GATEWAY BLVD</t>
  </si>
  <si>
    <t>JVLT</t>
  </si>
  <si>
    <t>53510</t>
  </si>
  <si>
    <t>1255 Gateway BIvd, BELOIT</t>
  </si>
  <si>
    <t>MKE1</t>
  </si>
  <si>
    <t>53144</t>
  </si>
  <si>
    <t>3501 120th Ave</t>
  </si>
  <si>
    <t>MKE5</t>
  </si>
  <si>
    <t>11211?Burlington?Road</t>
  </si>
  <si>
    <t>XMD4</t>
  </si>
  <si>
    <t>53142</t>
  </si>
  <si>
    <t>6222 77th Ave 53142 - Kenosha</t>
  </si>
  <si>
    <t>LAN2-UPS备用</t>
  </si>
  <si>
    <t>MI</t>
  </si>
  <si>
    <t>49509</t>
  </si>
  <si>
    <t>5801 Clyde Park Ave SW</t>
  </si>
  <si>
    <t>GRR1</t>
  </si>
  <si>
    <t>49316-9141</t>
  </si>
  <si>
    <t>500 68th Street SE</t>
  </si>
  <si>
    <t>LAN2</t>
  </si>
  <si>
    <t>48917</t>
  </si>
  <si>
    <t>6500 W Mt Hope Hwy</t>
  </si>
  <si>
    <t>DET2</t>
  </si>
  <si>
    <t>48317</t>
  </si>
  <si>
    <t>50500 Mound Rd</t>
  </si>
  <si>
    <t>DTW1</t>
  </si>
  <si>
    <t>48174</t>
  </si>
  <si>
    <t>32801 Ecorse Road</t>
  </si>
  <si>
    <t>DTW3</t>
  </si>
  <si>
    <t>33701 PRESCOTT ST</t>
  </si>
  <si>
    <t>DET1</t>
  </si>
  <si>
    <t>48150</t>
  </si>
  <si>
    <t>39000 Amrhein Road</t>
  </si>
  <si>
    <t>SDF8</t>
  </si>
  <si>
    <t>IN</t>
  </si>
  <si>
    <t>47130</t>
  </si>
  <si>
    <t>900 Patrol Rd</t>
  </si>
  <si>
    <t>FWA4</t>
  </si>
  <si>
    <t>46809-9771</t>
  </si>
  <si>
    <t>9798 Smith Road</t>
  </si>
  <si>
    <t>PPO4</t>
  </si>
  <si>
    <t>46307</t>
  </si>
  <si>
    <t>9850 Mississippi Street</t>
  </si>
  <si>
    <t>IND4</t>
  </si>
  <si>
    <t>46231</t>
  </si>
  <si>
    <t>710 S. Girls School Rd</t>
  </si>
  <si>
    <t>MQJ2</t>
  </si>
  <si>
    <t>46184-9108</t>
  </si>
  <si>
    <t>19 BOB GLIDDEN BLVD 46184-9108 - WHITELAND</t>
  </si>
  <si>
    <t>IND2</t>
  </si>
  <si>
    <t>46168</t>
  </si>
  <si>
    <t>715 Airtech Pkwy</t>
  </si>
  <si>
    <t>IND3</t>
  </si>
  <si>
    <t>715 Airtech Pkwy Suite 195</t>
  </si>
  <si>
    <t>IND5</t>
  </si>
  <si>
    <t>800 Perry Road</t>
  </si>
  <si>
    <t>MQJ1-UPS</t>
  </si>
  <si>
    <t>4412 W 300 RD N</t>
  </si>
  <si>
    <t>IND9</t>
  </si>
  <si>
    <t>46143-7830</t>
  </si>
  <si>
    <t>1151 S GRAHAM RD</t>
  </si>
  <si>
    <t>MQJ1</t>
  </si>
  <si>
    <t>46140-7099</t>
  </si>
  <si>
    <t>4412 W 300 N 46140-7099 - GREENFIELD</t>
  </si>
  <si>
    <t>IND1</t>
  </si>
  <si>
    <t>46075</t>
  </si>
  <si>
    <t>4255 Anson Blvd</t>
  </si>
  <si>
    <t>CMH3</t>
  </si>
  <si>
    <t>OH</t>
  </si>
  <si>
    <t>45050</t>
  </si>
  <si>
    <t>700 GATEWAY BLVD</t>
  </si>
  <si>
    <t>AKR1</t>
  </si>
  <si>
    <t>44705</t>
  </si>
  <si>
    <t>4747 Rebar Ave NE CANTON</t>
  </si>
  <si>
    <t>CLE3</t>
  </si>
  <si>
    <t>44132</t>
  </si>
  <si>
    <t>1155 Babbitt Road</t>
  </si>
  <si>
    <t>PCW1</t>
  </si>
  <si>
    <t>43460-1706</t>
  </si>
  <si>
    <t>27400 Crossroads Parkway</t>
  </si>
  <si>
    <t>CMH2</t>
  </si>
  <si>
    <t>43125</t>
  </si>
  <si>
    <t>6050 Gateway Court</t>
  </si>
  <si>
    <t>CMH1</t>
  </si>
  <si>
    <t>43062-7793</t>
  </si>
  <si>
    <t>11999 National Road SW</t>
  </si>
  <si>
    <t>CMH7</t>
  </si>
  <si>
    <t>43054-7762</t>
  </si>
  <si>
    <t>1245 BEECH RD SW 43054-7762 - NEW ALBANY</t>
  </si>
  <si>
    <t>SDF1</t>
  </si>
  <si>
    <t>KY</t>
  </si>
  <si>
    <t>42718</t>
  </si>
  <si>
    <t>1050 South Columbia</t>
  </si>
  <si>
    <t>CVG5</t>
  </si>
  <si>
    <t>41048-8435</t>
  </si>
  <si>
    <t>2285 Litton Way</t>
  </si>
  <si>
    <t>CVG1</t>
  </si>
  <si>
    <t>41048</t>
  </si>
  <si>
    <t>1155 Worldwide Blvd.</t>
  </si>
  <si>
    <t>CVG2</t>
  </si>
  <si>
    <t>1600 Worldwide Blvd</t>
  </si>
  <si>
    <t>CVG3</t>
  </si>
  <si>
    <t>3680 Langley Dr.</t>
  </si>
  <si>
    <t>IVSB</t>
  </si>
  <si>
    <t>3521 POINT PLEASANT RD</t>
  </si>
  <si>
    <t>IVSA</t>
  </si>
  <si>
    <t>41018</t>
  </si>
  <si>
    <t>4620 Olympic Blvd</t>
  </si>
  <si>
    <t>LEX2</t>
  </si>
  <si>
    <t>40511</t>
  </si>
  <si>
    <t>172 Trade St.</t>
  </si>
  <si>
    <t>SDF4</t>
  </si>
  <si>
    <t>40165-8556</t>
  </si>
  <si>
    <t>376 Zappos.com Blvd</t>
  </si>
  <si>
    <t>SDF6</t>
  </si>
  <si>
    <t>40165</t>
  </si>
  <si>
    <t>271 Omega Pkwy</t>
  </si>
  <si>
    <t>SDF9</t>
  </si>
  <si>
    <t>100 W. Thomas P. Echols Lane</t>
  </si>
  <si>
    <t>MEM6</t>
  </si>
  <si>
    <t>MS</t>
  </si>
  <si>
    <t>38654-2510</t>
  </si>
  <si>
    <t>11505 Progress Way 38654-2510 - OLIVE BRANCH</t>
  </si>
  <si>
    <t>MEM2</t>
  </si>
  <si>
    <t>38611-2306</t>
  </si>
  <si>
    <t>191 NORFOLK SOUTHERN WAY 38611-2306 - BYHALIA</t>
  </si>
  <si>
    <t>MEM8</t>
  </si>
  <si>
    <t>38611</t>
  </si>
  <si>
    <t>850 Gateway Global Dr</t>
  </si>
  <si>
    <t>MEM1</t>
  </si>
  <si>
    <t>TN</t>
  </si>
  <si>
    <t>38118-8102</t>
  </si>
  <si>
    <t>3292 E Holmes Rd</t>
  </si>
  <si>
    <t>TYS5</t>
  </si>
  <si>
    <t>37801</t>
  </si>
  <si>
    <t>TYS5-210 Partnership Parkway37801-MARYVILLE</t>
  </si>
  <si>
    <t>CHA1</t>
  </si>
  <si>
    <t>37416-1757</t>
  </si>
  <si>
    <t>7200 Discovery Drive</t>
  </si>
  <si>
    <t>CHA2</t>
  </si>
  <si>
    <t>37310</t>
  </si>
  <si>
    <t>225 Infinity Dr NW</t>
  </si>
  <si>
    <t>BAN4</t>
  </si>
  <si>
    <t>37217</t>
  </si>
  <si>
    <t>50 Airways Blvd Nashville</t>
  </si>
  <si>
    <t>BNA6-UPS备用</t>
  </si>
  <si>
    <t>37207</t>
  </si>
  <si>
    <t>BNA6 via 3207 Whites Creek Pike Nashville</t>
  </si>
  <si>
    <t>BNA3</t>
  </si>
  <si>
    <t>37127</t>
  </si>
  <si>
    <t>2020 Joe B Jackson Pkwy</t>
  </si>
  <si>
    <t>BNA2</t>
  </si>
  <si>
    <t>37090</t>
  </si>
  <si>
    <t>500 Duke Dr</t>
  </si>
  <si>
    <t>VINE</t>
  </si>
  <si>
    <t>BNA6</t>
  </si>
  <si>
    <t>37040-5502</t>
  </si>
  <si>
    <t>3875 GUTHRIE HWY</t>
  </si>
  <si>
    <t>HSV1</t>
  </si>
  <si>
    <t>35756</t>
  </si>
  <si>
    <t>7817 Greenbrier Rd</t>
  </si>
  <si>
    <t>HSV2</t>
  </si>
  <si>
    <t>AL</t>
  </si>
  <si>
    <t>28869 Fanning Dr NW</t>
  </si>
  <si>
    <t>PBI3</t>
  </si>
  <si>
    <t>FL</t>
  </si>
  <si>
    <t>34986</t>
  </si>
  <si>
    <t>7600 LTCParkway</t>
  </si>
  <si>
    <t>TPA6</t>
  </si>
  <si>
    <t>34475-4625</t>
  </si>
  <si>
    <t xml:space="preserve">3400 NW 35th Avenue Road OCALA </t>
  </si>
  <si>
    <t>TPA3</t>
  </si>
  <si>
    <t>33823-9429</t>
  </si>
  <si>
    <t>676 C Fred Jones Blvd 33823-9429 - Auburndale</t>
  </si>
  <si>
    <t>TPA2</t>
  </si>
  <si>
    <t>33811</t>
  </si>
  <si>
    <t>1760 County Line Rd</t>
  </si>
  <si>
    <t>TPA1</t>
  </si>
  <si>
    <t>33570</t>
  </si>
  <si>
    <t>3350 Laurel Ridge Ave.</t>
  </si>
  <si>
    <t>PBI2</t>
  </si>
  <si>
    <t>33478-6456</t>
  </si>
  <si>
    <t>14490 Corporate Road N</t>
  </si>
  <si>
    <t>TMB8备用</t>
  </si>
  <si>
    <t>33055</t>
  </si>
  <si>
    <t>27505 SW 132nd AVE</t>
  </si>
  <si>
    <t>TMB8</t>
  </si>
  <si>
    <t>33032-8597</t>
  </si>
  <si>
    <t>MLB1</t>
  </si>
  <si>
    <t>32926</t>
  </si>
  <si>
    <t>3655 GRISSOM PKWY</t>
  </si>
  <si>
    <t>MCO1</t>
  </si>
  <si>
    <t>32824</t>
  </si>
  <si>
    <t>12340 Boggy Creek Rd, Orlando</t>
  </si>
  <si>
    <t>MCO2</t>
  </si>
  <si>
    <t>32725-2610</t>
  </si>
  <si>
    <t>2600 N Normandy Blvd 32725-2610 - Deltona</t>
  </si>
  <si>
    <t>XPB2</t>
  </si>
  <si>
    <t>32712</t>
  </si>
  <si>
    <t>4661 Apopka Logistics Pkwy</t>
  </si>
  <si>
    <t>JAX2</t>
  </si>
  <si>
    <t>32218-2432</t>
  </si>
  <si>
    <t>12900 Pecan Park Road</t>
  </si>
  <si>
    <t>JAX3</t>
  </si>
  <si>
    <t>32210</t>
  </si>
  <si>
    <t>13333 103rd Street</t>
  </si>
  <si>
    <t>PBI3备用</t>
  </si>
  <si>
    <t>32206</t>
  </si>
  <si>
    <t>7600 LTCPARKWAY，JACKSONVILLE</t>
  </si>
  <si>
    <t>XAV3</t>
  </si>
  <si>
    <t>GA</t>
  </si>
  <si>
    <t>31407</t>
  </si>
  <si>
    <t>120 CrossgateDr 31407-PortWentworth</t>
  </si>
  <si>
    <t>SAV3</t>
  </si>
  <si>
    <t>31216</t>
  </si>
  <si>
    <t>7001 Skipper Rd,</t>
  </si>
  <si>
    <t>MGE3</t>
  </si>
  <si>
    <t>30549</t>
  </si>
  <si>
    <t>808 Hog Mountain Road</t>
  </si>
  <si>
    <t>MGE1</t>
  </si>
  <si>
    <t>30517</t>
  </si>
  <si>
    <t xml:space="preserve">Services, Inc. 650 Broadway Avenue Braselton </t>
  </si>
  <si>
    <t>ATL6</t>
  </si>
  <si>
    <t>30344-5707</t>
  </si>
  <si>
    <t>4200 North Commerce</t>
  </si>
  <si>
    <t>RYY2-备用</t>
  </si>
  <si>
    <t>30325</t>
  </si>
  <si>
    <t>RYY2 via 1250 Cassville White Road</t>
  </si>
  <si>
    <t>RYY2</t>
  </si>
  <si>
    <t>30184</t>
  </si>
  <si>
    <t>1250 CassvilleWhite Road</t>
  </si>
  <si>
    <t>GSP1</t>
  </si>
  <si>
    <t>SC</t>
  </si>
  <si>
    <t>29303-6312</t>
  </si>
  <si>
    <t>402 John Dodd Rd</t>
  </si>
  <si>
    <t>CAE1</t>
  </si>
  <si>
    <t>29172</t>
  </si>
  <si>
    <t>4400 12 Street Extension</t>
  </si>
  <si>
    <t>RDU4</t>
  </si>
  <si>
    <t>NC</t>
  </si>
  <si>
    <t>28303</t>
  </si>
  <si>
    <t>6309 Bragg Blvd</t>
  </si>
  <si>
    <t>CLT2</t>
  </si>
  <si>
    <t>28214</t>
  </si>
  <si>
    <t>10240 Old Dowd Rd</t>
  </si>
  <si>
    <t>CLT6</t>
  </si>
  <si>
    <t>28134-9457</t>
  </si>
  <si>
    <t>12220 Carolina Logistics Drive 28134-9457 - PINEVILLE</t>
  </si>
  <si>
    <t>XLX6</t>
  </si>
  <si>
    <t>28134</t>
  </si>
  <si>
    <t xml:space="preserve">XLX6,12220 Carolina Logistics Drive,PINEVILLE </t>
  </si>
  <si>
    <t>CLT3</t>
  </si>
  <si>
    <t>28027-7995</t>
  </si>
  <si>
    <t>6500 Davidson Hwy</t>
  </si>
  <si>
    <t>RDU2</t>
  </si>
  <si>
    <t>27577</t>
  </si>
  <si>
    <t xml:space="preserve">2150 US HWY 70 Business West 27577 - SMITHFIELD </t>
  </si>
  <si>
    <t>RDU1</t>
  </si>
  <si>
    <t>27529-9438</t>
  </si>
  <si>
    <t>Ship to RDU1 4851 Jones Sausage Rd</t>
  </si>
  <si>
    <t>GSO1</t>
  </si>
  <si>
    <t>27284-6855</t>
  </si>
  <si>
    <t>1656 OLD GREENSBORO RD</t>
  </si>
  <si>
    <t>KRB2</t>
  </si>
  <si>
    <t>VA</t>
  </si>
  <si>
    <t>23875</t>
  </si>
  <si>
    <t>RIC2</t>
  </si>
  <si>
    <t>23836</t>
  </si>
  <si>
    <t>1901 Meadowville Technology Pkwy</t>
  </si>
  <si>
    <t>RIC1</t>
  </si>
  <si>
    <t>23803</t>
  </si>
  <si>
    <t>5000 Commerce Way</t>
  </si>
  <si>
    <t>ORF1</t>
  </si>
  <si>
    <t>23323</t>
  </si>
  <si>
    <t>3516 South Military Hwy</t>
  </si>
  <si>
    <t>ORF2</t>
  </si>
  <si>
    <t>23321</t>
  </si>
  <si>
    <t>5045 PORTSMOUTH BLVD CHESAPEAKE</t>
  </si>
  <si>
    <t>RIC3-23234-2207</t>
  </si>
  <si>
    <t>23234-2207</t>
  </si>
  <si>
    <t xml:space="preserve">4949 Commerce Rd 23234-2207 - RICHMOND </t>
  </si>
  <si>
    <t>XRI3</t>
  </si>
  <si>
    <t>23234</t>
  </si>
  <si>
    <t>4949 Commerce Rd</t>
  </si>
  <si>
    <t>CHO1</t>
  </si>
  <si>
    <t>22939</t>
  </si>
  <si>
    <t>32 TRADER RD FISHERSVILLE</t>
  </si>
  <si>
    <t>BWI4</t>
  </si>
  <si>
    <t>22624-1568</t>
  </si>
  <si>
    <t>165 Business Blvd</t>
  </si>
  <si>
    <t>RMN3</t>
  </si>
  <si>
    <t>22406</t>
  </si>
  <si>
    <t>RMN3 - 220 Centreport Parkway 22406 - FREDERICKSBURG</t>
  </si>
  <si>
    <t>MDT2</t>
  </si>
  <si>
    <t>MD</t>
  </si>
  <si>
    <t>21901</t>
  </si>
  <si>
    <t>600 Principio Parkway West</t>
  </si>
  <si>
    <t>XLX1</t>
  </si>
  <si>
    <t>21740-8126</t>
  </si>
  <si>
    <t>1115 Wesel Blvd</t>
  </si>
  <si>
    <t>HGR2</t>
  </si>
  <si>
    <t>1115 WESEL BLVD</t>
  </si>
  <si>
    <t>HGR6</t>
  </si>
  <si>
    <t>21740</t>
  </si>
  <si>
    <t>55 West Oak Ridge Drive</t>
  </si>
  <si>
    <t>BWI2</t>
  </si>
  <si>
    <t>21224</t>
  </si>
  <si>
    <t>2010 Broening Hwy</t>
  </si>
  <si>
    <t>DCA6</t>
  </si>
  <si>
    <t>21219-1041</t>
  </si>
  <si>
    <t>6001 BETHLEHEM BLVD</t>
  </si>
  <si>
    <t>BWI1</t>
  </si>
  <si>
    <t>20166-2058</t>
  </si>
  <si>
    <t>45121 Global Plaza</t>
  </si>
  <si>
    <t>PHL1</t>
  </si>
  <si>
    <t>DE</t>
  </si>
  <si>
    <t>19720</t>
  </si>
  <si>
    <t>1 Centerpoint Blvd</t>
  </si>
  <si>
    <t>ILG1</t>
  </si>
  <si>
    <t>780 S. DuPont HighwayNEW CASTLE</t>
  </si>
  <si>
    <t>PHL7</t>
  </si>
  <si>
    <t>19709-4652</t>
  </si>
  <si>
    <t>560 Merrimac Ave</t>
  </si>
  <si>
    <t>WBW2</t>
  </si>
  <si>
    <t>PA</t>
  </si>
  <si>
    <t>18447</t>
  </si>
  <si>
    <t>1300 Corporate Way</t>
  </si>
  <si>
    <t>AVP9</t>
  </si>
  <si>
    <t>18434-1153</t>
  </si>
  <si>
    <t>45 VALLEY VIEW DR</t>
  </si>
  <si>
    <t>WBW2-UPS</t>
  </si>
  <si>
    <t>18348</t>
  </si>
  <si>
    <t>AVP1</t>
  </si>
  <si>
    <t>18202-9361</t>
  </si>
  <si>
    <t>550 Oak Ridge Road</t>
  </si>
  <si>
    <t>HEA2-UPS</t>
  </si>
  <si>
    <t>18105</t>
  </si>
  <si>
    <t>650 BOULDER DR</t>
  </si>
  <si>
    <t>ABE4</t>
  </si>
  <si>
    <t>18045-7807</t>
  </si>
  <si>
    <t>1610 Van Buren Road,</t>
  </si>
  <si>
    <t>ABE2</t>
  </si>
  <si>
    <t>18031</t>
  </si>
  <si>
    <t>705 Boulder Drive</t>
  </si>
  <si>
    <t>ABE3</t>
  </si>
  <si>
    <t>650 Boulder Drive</t>
  </si>
  <si>
    <t>HEA2</t>
  </si>
  <si>
    <t>MDT4</t>
  </si>
  <si>
    <t>17408</t>
  </si>
  <si>
    <t xml:space="preserve">5125 Commerce DriveYORK </t>
  </si>
  <si>
    <t>PHL5</t>
  </si>
  <si>
    <t>17339</t>
  </si>
  <si>
    <t>500 McCarthy Dr.</t>
  </si>
  <si>
    <t>RMN3-UPS备用</t>
  </si>
  <si>
    <t>17057</t>
  </si>
  <si>
    <t>2112 N Union Street</t>
  </si>
  <si>
    <t>HIA1</t>
  </si>
  <si>
    <t>3327 E HARRISBURG PIKE</t>
  </si>
  <si>
    <t>ORF2-17057</t>
  </si>
  <si>
    <t>2114 N Union St</t>
  </si>
  <si>
    <t>PHL4</t>
  </si>
  <si>
    <t>17015</t>
  </si>
  <si>
    <t>21 Roadway Drive</t>
  </si>
  <si>
    <t>PHL6</t>
  </si>
  <si>
    <t>675 Allen Rd.</t>
  </si>
  <si>
    <t>MDT1</t>
  </si>
  <si>
    <t>2 Ames Drive</t>
  </si>
  <si>
    <t>LBE1</t>
  </si>
  <si>
    <t>15672-9703</t>
  </si>
  <si>
    <t>165 GLENN FOX RD</t>
  </si>
  <si>
    <t>LBE1-UPS</t>
  </si>
  <si>
    <t>15605</t>
  </si>
  <si>
    <t>165 Glen Fox Road</t>
  </si>
  <si>
    <t>PIT2</t>
  </si>
  <si>
    <t>15126</t>
  </si>
  <si>
    <t>1200 Westport Rd</t>
  </si>
  <si>
    <t>SWF1</t>
  </si>
  <si>
    <t>NY</t>
  </si>
  <si>
    <t>12575-5150</t>
  </si>
  <si>
    <t>635 INTERNATIONAL BLVD</t>
  </si>
  <si>
    <t>SWF2</t>
  </si>
  <si>
    <t>12533-6159</t>
  </si>
  <si>
    <t>76 Patriot Way</t>
  </si>
  <si>
    <t>ALB1</t>
  </si>
  <si>
    <t>12033-9634</t>
  </si>
  <si>
    <t>1835 US Route 9</t>
  </si>
  <si>
    <t>SWF2-UPS</t>
  </si>
  <si>
    <t>10710</t>
  </si>
  <si>
    <t>557 Tuckahoe Road</t>
  </si>
  <si>
    <t>JFK8</t>
  </si>
  <si>
    <t>10314</t>
  </si>
  <si>
    <t>546 Gulf Avenue</t>
  </si>
  <si>
    <t>TEB9</t>
  </si>
  <si>
    <t>NJ</t>
  </si>
  <si>
    <t>08873</t>
  </si>
  <si>
    <t xml:space="preserve">601 Randolph Road 08873 - SOMERSET </t>
  </si>
  <si>
    <t>EWR4</t>
  </si>
  <si>
    <t>08691-2350</t>
  </si>
  <si>
    <t>50 New Canton Way</t>
  </si>
  <si>
    <t>ABE8</t>
  </si>
  <si>
    <t>08518</t>
  </si>
  <si>
    <t>401 Independence Road</t>
  </si>
  <si>
    <t>TEB6</t>
  </si>
  <si>
    <t>08512-5007</t>
  </si>
  <si>
    <t>22 Hightstown Cranbury State Road</t>
  </si>
  <si>
    <t>TTN2</t>
  </si>
  <si>
    <t>08512-3253</t>
  </si>
  <si>
    <t>343 Cranbury Half Acre Rd</t>
  </si>
  <si>
    <t>TEB3</t>
  </si>
  <si>
    <t>08085</t>
  </si>
  <si>
    <t>2651 Oldmans Creek Rd</t>
  </si>
  <si>
    <t>XEW5</t>
  </si>
  <si>
    <t>08077-2015</t>
  </si>
  <si>
    <t>995 Taylors Ln</t>
  </si>
  <si>
    <t>TEB4</t>
  </si>
  <si>
    <t>08069-2955</t>
  </si>
  <si>
    <t>747 COURSES LANDING RD ,PENNS GROVE</t>
  </si>
  <si>
    <t>IVSC</t>
  </si>
  <si>
    <t>08066</t>
  </si>
  <si>
    <t>1225 Forest Parkway</t>
  </si>
  <si>
    <t>ACY2</t>
  </si>
  <si>
    <t>08016-1934</t>
  </si>
  <si>
    <t>1101 E PEARL ST</t>
  </si>
  <si>
    <t>EWR5</t>
  </si>
  <si>
    <t>07001-2225</t>
  </si>
  <si>
    <t>301?Blair?Road?#100</t>
  </si>
  <si>
    <t>BDL6</t>
  </si>
  <si>
    <t>CT</t>
  </si>
  <si>
    <t>06416</t>
  </si>
  <si>
    <t>120 County Line Dr</t>
  </si>
  <si>
    <t>BOS7</t>
  </si>
  <si>
    <t>MA</t>
  </si>
  <si>
    <t>02720-4766</t>
  </si>
  <si>
    <t>1180 Innovation Way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</si>
</sst>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9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5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等线"/>
      <charset val="134"/>
    </font>
    <font>
      <sz val="11"/>
      <color rgb="FF0F1115"/>
      <name val="宋体"/>
      <charset val="134"/>
      <scheme val="minor"/>
    </font>
    <font>
      <sz val="10.5"/>
      <color rgb="FF0F1115"/>
      <name val="宋体"/>
      <charset val="134"/>
      <scheme val="minor"/>
    </font>
    <font>
      <sz val="9.75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等线"/>
      <charset val="134"/>
    </font>
    <font>
      <sz val="11"/>
      <name val="宋体"/>
      <charset val="134"/>
      <scheme val="minor"/>
    </font>
    <font>
      <sz val="10"/>
      <color indexed="8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5" borderId="6" applyNumberFormat="0" applyAlignment="0" applyProtection="0">
      <alignment vertical="center"/>
    </xf>
    <xf numFmtId="0" fontId="27" fillId="5" borderId="5" applyNumberFormat="0" applyAlignment="0" applyProtection="0">
      <alignment vertical="center"/>
    </xf>
    <xf numFmtId="0" fontId="28" fillId="6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6" fillId="0" borderId="0">
      <alignment vertical="center"/>
    </xf>
  </cellStyleXfs>
  <cellXfs count="29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49" fontId="0" fillId="0" borderId="0" xfId="0" applyNumberFormat="1" applyFill="1" applyAlignment="1"/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14" fillId="0" borderId="0" xfId="0" applyFont="1" applyFill="1" applyAlignment="1">
      <alignment vertical="center"/>
    </xf>
    <xf numFmtId="0" fontId="0" fillId="0" borderId="0" xfId="0" applyFill="1" applyAlignment="1">
      <alignment horizontal="left"/>
    </xf>
    <xf numFmtId="0" fontId="0" fillId="0" borderId="0" xfId="0" applyFill="1"/>
    <xf numFmtId="0" fontId="15" fillId="0" borderId="1" xfId="0" applyFont="1" applyFill="1" applyBorder="1" applyAlignment="1">
      <alignment horizontal="left" vertical="top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/>
    <xf numFmtId="0" fontId="8" fillId="0" borderId="0" xfId="0" applyFont="1" applyFill="1"/>
    <xf numFmtId="176" fontId="0" fillId="0" borderId="0" xfId="0" applyNumberFormat="1" applyFill="1" applyAlignment="1">
      <alignment horizontal="left"/>
    </xf>
    <xf numFmtId="0" fontId="16" fillId="0" borderId="0" xfId="0" applyFont="1" applyFill="1" applyAlignment="1"/>
    <xf numFmtId="0" fontId="16" fillId="0" borderId="0" xfId="0" applyFont="1" applyFill="1"/>
    <xf numFmtId="0" fontId="0" fillId="0" borderId="0" xfId="0" applyFont="1" applyFill="1" applyAlignment="1" quotePrefix="1">
      <alignment horizontal="left" vertical="center"/>
    </xf>
    <xf numFmtId="0" fontId="0" fillId="0" borderId="0" xfId="0" applyFont="1" applyFill="1" applyAlignment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" xfId="49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96.xml"/><Relationship Id="rId98" Type="http://schemas.openxmlformats.org/officeDocument/2006/relationships/externalLink" Target="externalLinks/externalLink95.xml"/><Relationship Id="rId97" Type="http://schemas.openxmlformats.org/officeDocument/2006/relationships/externalLink" Target="externalLinks/externalLink94.xml"/><Relationship Id="rId96" Type="http://schemas.openxmlformats.org/officeDocument/2006/relationships/externalLink" Target="externalLinks/externalLink93.xml"/><Relationship Id="rId95" Type="http://schemas.openxmlformats.org/officeDocument/2006/relationships/externalLink" Target="externalLinks/externalLink92.xml"/><Relationship Id="rId94" Type="http://schemas.openxmlformats.org/officeDocument/2006/relationships/externalLink" Target="externalLinks/externalLink91.xml"/><Relationship Id="rId93" Type="http://schemas.openxmlformats.org/officeDocument/2006/relationships/externalLink" Target="externalLinks/externalLink90.xml"/><Relationship Id="rId92" Type="http://schemas.openxmlformats.org/officeDocument/2006/relationships/externalLink" Target="externalLinks/externalLink89.xml"/><Relationship Id="rId91" Type="http://schemas.openxmlformats.org/officeDocument/2006/relationships/externalLink" Target="externalLinks/externalLink88.xml"/><Relationship Id="rId90" Type="http://schemas.openxmlformats.org/officeDocument/2006/relationships/externalLink" Target="externalLinks/externalLink87.xml"/><Relationship Id="rId9" Type="http://schemas.openxmlformats.org/officeDocument/2006/relationships/externalLink" Target="externalLinks/externalLink6.xml"/><Relationship Id="rId89" Type="http://schemas.openxmlformats.org/officeDocument/2006/relationships/externalLink" Target="externalLinks/externalLink86.xml"/><Relationship Id="rId88" Type="http://schemas.openxmlformats.org/officeDocument/2006/relationships/externalLink" Target="externalLinks/externalLink85.xml"/><Relationship Id="rId87" Type="http://schemas.openxmlformats.org/officeDocument/2006/relationships/externalLink" Target="externalLinks/externalLink84.xml"/><Relationship Id="rId86" Type="http://schemas.openxmlformats.org/officeDocument/2006/relationships/externalLink" Target="externalLinks/externalLink83.xml"/><Relationship Id="rId85" Type="http://schemas.openxmlformats.org/officeDocument/2006/relationships/externalLink" Target="externalLinks/externalLink82.xml"/><Relationship Id="rId84" Type="http://schemas.openxmlformats.org/officeDocument/2006/relationships/externalLink" Target="externalLinks/externalLink81.xml"/><Relationship Id="rId83" Type="http://schemas.openxmlformats.org/officeDocument/2006/relationships/externalLink" Target="externalLinks/externalLink80.xml"/><Relationship Id="rId82" Type="http://schemas.openxmlformats.org/officeDocument/2006/relationships/externalLink" Target="externalLinks/externalLink79.xml"/><Relationship Id="rId81" Type="http://schemas.openxmlformats.org/officeDocument/2006/relationships/externalLink" Target="externalLinks/externalLink78.xml"/><Relationship Id="rId80" Type="http://schemas.openxmlformats.org/officeDocument/2006/relationships/externalLink" Target="externalLinks/externalLink77.xml"/><Relationship Id="rId8" Type="http://schemas.openxmlformats.org/officeDocument/2006/relationships/externalLink" Target="externalLinks/externalLink5.xml"/><Relationship Id="rId79" Type="http://schemas.openxmlformats.org/officeDocument/2006/relationships/externalLink" Target="externalLinks/externalLink76.xml"/><Relationship Id="rId78" Type="http://schemas.openxmlformats.org/officeDocument/2006/relationships/externalLink" Target="externalLinks/externalLink75.xml"/><Relationship Id="rId77" Type="http://schemas.openxmlformats.org/officeDocument/2006/relationships/externalLink" Target="externalLinks/externalLink74.xml"/><Relationship Id="rId76" Type="http://schemas.openxmlformats.org/officeDocument/2006/relationships/externalLink" Target="externalLinks/externalLink73.xml"/><Relationship Id="rId75" Type="http://schemas.openxmlformats.org/officeDocument/2006/relationships/externalLink" Target="externalLinks/externalLink72.xml"/><Relationship Id="rId74" Type="http://schemas.openxmlformats.org/officeDocument/2006/relationships/externalLink" Target="externalLinks/externalLink71.xml"/><Relationship Id="rId73" Type="http://schemas.openxmlformats.org/officeDocument/2006/relationships/externalLink" Target="externalLinks/externalLink70.xml"/><Relationship Id="rId72" Type="http://schemas.openxmlformats.org/officeDocument/2006/relationships/externalLink" Target="externalLinks/externalLink69.xml"/><Relationship Id="rId71" Type="http://schemas.openxmlformats.org/officeDocument/2006/relationships/externalLink" Target="externalLinks/externalLink68.xml"/><Relationship Id="rId70" Type="http://schemas.openxmlformats.org/officeDocument/2006/relationships/externalLink" Target="externalLinks/externalLink67.xml"/><Relationship Id="rId7" Type="http://schemas.openxmlformats.org/officeDocument/2006/relationships/externalLink" Target="externalLinks/externalLink4.xml"/><Relationship Id="rId69" Type="http://schemas.openxmlformats.org/officeDocument/2006/relationships/externalLink" Target="externalLinks/externalLink66.xml"/><Relationship Id="rId68" Type="http://schemas.openxmlformats.org/officeDocument/2006/relationships/externalLink" Target="externalLinks/externalLink65.xml"/><Relationship Id="rId67" Type="http://schemas.openxmlformats.org/officeDocument/2006/relationships/externalLink" Target="externalLinks/externalLink64.xml"/><Relationship Id="rId66" Type="http://schemas.openxmlformats.org/officeDocument/2006/relationships/externalLink" Target="externalLinks/externalLink63.xml"/><Relationship Id="rId65" Type="http://schemas.openxmlformats.org/officeDocument/2006/relationships/externalLink" Target="externalLinks/externalLink62.xml"/><Relationship Id="rId64" Type="http://schemas.openxmlformats.org/officeDocument/2006/relationships/externalLink" Target="externalLinks/externalLink61.xml"/><Relationship Id="rId63" Type="http://schemas.openxmlformats.org/officeDocument/2006/relationships/externalLink" Target="externalLinks/externalLink60.xml"/><Relationship Id="rId62" Type="http://schemas.openxmlformats.org/officeDocument/2006/relationships/externalLink" Target="externalLinks/externalLink59.xml"/><Relationship Id="rId61" Type="http://schemas.openxmlformats.org/officeDocument/2006/relationships/externalLink" Target="externalLinks/externalLink58.xml"/><Relationship Id="rId60" Type="http://schemas.openxmlformats.org/officeDocument/2006/relationships/externalLink" Target="externalLinks/externalLink57.xml"/><Relationship Id="rId6" Type="http://schemas.openxmlformats.org/officeDocument/2006/relationships/externalLink" Target="externalLinks/externalLink3.xml"/><Relationship Id="rId59" Type="http://schemas.openxmlformats.org/officeDocument/2006/relationships/externalLink" Target="externalLinks/externalLink56.xml"/><Relationship Id="rId58" Type="http://schemas.openxmlformats.org/officeDocument/2006/relationships/externalLink" Target="externalLinks/externalLink55.xml"/><Relationship Id="rId57" Type="http://schemas.openxmlformats.org/officeDocument/2006/relationships/externalLink" Target="externalLinks/externalLink54.xml"/><Relationship Id="rId56" Type="http://schemas.openxmlformats.org/officeDocument/2006/relationships/externalLink" Target="externalLinks/externalLink53.xml"/><Relationship Id="rId55" Type="http://schemas.openxmlformats.org/officeDocument/2006/relationships/externalLink" Target="externalLinks/externalLink52.xml"/><Relationship Id="rId54" Type="http://schemas.openxmlformats.org/officeDocument/2006/relationships/externalLink" Target="externalLinks/externalLink51.xml"/><Relationship Id="rId53" Type="http://schemas.openxmlformats.org/officeDocument/2006/relationships/externalLink" Target="externalLinks/externalLink50.xml"/><Relationship Id="rId52" Type="http://schemas.openxmlformats.org/officeDocument/2006/relationships/externalLink" Target="externalLinks/externalLink49.xml"/><Relationship Id="rId51" Type="http://schemas.openxmlformats.org/officeDocument/2006/relationships/externalLink" Target="externalLinks/externalLink48.xml"/><Relationship Id="rId50" Type="http://schemas.openxmlformats.org/officeDocument/2006/relationships/externalLink" Target="externalLinks/externalLink47.xml"/><Relationship Id="rId5" Type="http://schemas.openxmlformats.org/officeDocument/2006/relationships/externalLink" Target="externalLinks/externalLink2.xml"/><Relationship Id="rId49" Type="http://schemas.openxmlformats.org/officeDocument/2006/relationships/externalLink" Target="externalLinks/externalLink46.xml"/><Relationship Id="rId48" Type="http://schemas.openxmlformats.org/officeDocument/2006/relationships/externalLink" Target="externalLinks/externalLink45.xml"/><Relationship Id="rId47" Type="http://schemas.openxmlformats.org/officeDocument/2006/relationships/externalLink" Target="externalLinks/externalLink44.xml"/><Relationship Id="rId46" Type="http://schemas.openxmlformats.org/officeDocument/2006/relationships/externalLink" Target="externalLinks/externalLink43.xml"/><Relationship Id="rId45" Type="http://schemas.openxmlformats.org/officeDocument/2006/relationships/externalLink" Target="externalLinks/externalLink42.xml"/><Relationship Id="rId44" Type="http://schemas.openxmlformats.org/officeDocument/2006/relationships/externalLink" Target="externalLinks/externalLink41.xml"/><Relationship Id="rId43" Type="http://schemas.openxmlformats.org/officeDocument/2006/relationships/externalLink" Target="externalLinks/externalLink40.xml"/><Relationship Id="rId42" Type="http://schemas.openxmlformats.org/officeDocument/2006/relationships/externalLink" Target="externalLinks/externalLink39.xml"/><Relationship Id="rId41" Type="http://schemas.openxmlformats.org/officeDocument/2006/relationships/externalLink" Target="externalLinks/externalLink38.xml"/><Relationship Id="rId40" Type="http://schemas.openxmlformats.org/officeDocument/2006/relationships/externalLink" Target="externalLinks/externalLink37.xml"/><Relationship Id="rId4" Type="http://schemas.openxmlformats.org/officeDocument/2006/relationships/externalLink" Target="externalLinks/externalLink1.xml"/><Relationship Id="rId39" Type="http://schemas.openxmlformats.org/officeDocument/2006/relationships/externalLink" Target="externalLinks/externalLink36.xml"/><Relationship Id="rId38" Type="http://schemas.openxmlformats.org/officeDocument/2006/relationships/externalLink" Target="externalLinks/externalLink35.xml"/><Relationship Id="rId37" Type="http://schemas.openxmlformats.org/officeDocument/2006/relationships/externalLink" Target="externalLinks/externalLink34.xml"/><Relationship Id="rId36" Type="http://schemas.openxmlformats.org/officeDocument/2006/relationships/externalLink" Target="externalLinks/externalLink33.xml"/><Relationship Id="rId35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31.xml"/><Relationship Id="rId33" Type="http://schemas.openxmlformats.org/officeDocument/2006/relationships/externalLink" Target="externalLinks/externalLink30.xml"/><Relationship Id="rId32" Type="http://schemas.openxmlformats.org/officeDocument/2006/relationships/externalLink" Target="externalLinks/externalLink29.xml"/><Relationship Id="rId31" Type="http://schemas.openxmlformats.org/officeDocument/2006/relationships/externalLink" Target="externalLinks/externalLink28.xml"/><Relationship Id="rId30" Type="http://schemas.openxmlformats.org/officeDocument/2006/relationships/externalLink" Target="externalLinks/externalLink27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6.xml"/><Relationship Id="rId28" Type="http://schemas.openxmlformats.org/officeDocument/2006/relationships/externalLink" Target="externalLinks/externalLink25.xml"/><Relationship Id="rId27" Type="http://schemas.openxmlformats.org/officeDocument/2006/relationships/externalLink" Target="externalLinks/externalLink24.xml"/><Relationship Id="rId26" Type="http://schemas.openxmlformats.org/officeDocument/2006/relationships/externalLink" Target="externalLinks/externalLink23.xml"/><Relationship Id="rId25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21.xml"/><Relationship Id="rId23" Type="http://schemas.openxmlformats.org/officeDocument/2006/relationships/externalLink" Target="externalLinks/externalLink20.xml"/><Relationship Id="rId22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8.xml"/><Relationship Id="rId20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6.xml"/><Relationship Id="rId18" Type="http://schemas.openxmlformats.org/officeDocument/2006/relationships/externalLink" Target="externalLinks/externalLink15.xml"/><Relationship Id="rId17" Type="http://schemas.openxmlformats.org/officeDocument/2006/relationships/externalLink" Target="externalLinks/externalLink14.xml"/><Relationship Id="rId16" Type="http://schemas.openxmlformats.org/officeDocument/2006/relationships/externalLink" Target="externalLinks/externalLink13.xml"/><Relationship Id="rId15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11.xml"/><Relationship Id="rId134" Type="http://schemas.openxmlformats.org/officeDocument/2006/relationships/styles" Target="styles.xml"/><Relationship Id="rId133" Type="http://schemas.openxmlformats.org/officeDocument/2006/relationships/sheetMetadata" Target="metadata.xml"/><Relationship Id="rId132" Type="http://schemas.openxmlformats.org/officeDocument/2006/relationships/sharedStrings" Target="sharedStrings.xml"/><Relationship Id="rId131" Type="http://schemas.openxmlformats.org/officeDocument/2006/relationships/theme" Target="theme/theme1.xml"/><Relationship Id="rId130" Type="http://schemas.openxmlformats.org/officeDocument/2006/relationships/externalLink" Target="externalLinks/externalLink127.xml"/><Relationship Id="rId13" Type="http://schemas.openxmlformats.org/officeDocument/2006/relationships/externalLink" Target="externalLinks/externalLink10.xml"/><Relationship Id="rId129" Type="http://schemas.openxmlformats.org/officeDocument/2006/relationships/externalLink" Target="externalLinks/externalLink126.xml"/><Relationship Id="rId128" Type="http://schemas.openxmlformats.org/officeDocument/2006/relationships/externalLink" Target="externalLinks/externalLink125.xml"/><Relationship Id="rId127" Type="http://schemas.openxmlformats.org/officeDocument/2006/relationships/externalLink" Target="externalLinks/externalLink124.xml"/><Relationship Id="rId126" Type="http://schemas.openxmlformats.org/officeDocument/2006/relationships/externalLink" Target="externalLinks/externalLink123.xml"/><Relationship Id="rId125" Type="http://schemas.openxmlformats.org/officeDocument/2006/relationships/externalLink" Target="externalLinks/externalLink122.xml"/><Relationship Id="rId124" Type="http://schemas.openxmlformats.org/officeDocument/2006/relationships/externalLink" Target="externalLinks/externalLink121.xml"/><Relationship Id="rId123" Type="http://schemas.openxmlformats.org/officeDocument/2006/relationships/externalLink" Target="externalLinks/externalLink120.xml"/><Relationship Id="rId122" Type="http://schemas.openxmlformats.org/officeDocument/2006/relationships/externalLink" Target="externalLinks/externalLink119.xml"/><Relationship Id="rId121" Type="http://schemas.openxmlformats.org/officeDocument/2006/relationships/externalLink" Target="externalLinks/externalLink118.xml"/><Relationship Id="rId120" Type="http://schemas.openxmlformats.org/officeDocument/2006/relationships/externalLink" Target="externalLinks/externalLink117.xml"/><Relationship Id="rId12" Type="http://schemas.openxmlformats.org/officeDocument/2006/relationships/externalLink" Target="externalLinks/externalLink9.xml"/><Relationship Id="rId119" Type="http://schemas.openxmlformats.org/officeDocument/2006/relationships/externalLink" Target="externalLinks/externalLink116.xml"/><Relationship Id="rId118" Type="http://schemas.openxmlformats.org/officeDocument/2006/relationships/externalLink" Target="externalLinks/externalLink115.xml"/><Relationship Id="rId117" Type="http://schemas.openxmlformats.org/officeDocument/2006/relationships/externalLink" Target="externalLinks/externalLink114.xml"/><Relationship Id="rId116" Type="http://schemas.openxmlformats.org/officeDocument/2006/relationships/externalLink" Target="externalLinks/externalLink113.xml"/><Relationship Id="rId115" Type="http://schemas.openxmlformats.org/officeDocument/2006/relationships/externalLink" Target="externalLinks/externalLink112.xml"/><Relationship Id="rId114" Type="http://schemas.openxmlformats.org/officeDocument/2006/relationships/externalLink" Target="externalLinks/externalLink111.xml"/><Relationship Id="rId113" Type="http://schemas.openxmlformats.org/officeDocument/2006/relationships/externalLink" Target="externalLinks/externalLink110.xml"/><Relationship Id="rId112" Type="http://schemas.openxmlformats.org/officeDocument/2006/relationships/externalLink" Target="externalLinks/externalLink109.xml"/><Relationship Id="rId111" Type="http://schemas.openxmlformats.org/officeDocument/2006/relationships/externalLink" Target="externalLinks/externalLink108.xml"/><Relationship Id="rId110" Type="http://schemas.openxmlformats.org/officeDocument/2006/relationships/externalLink" Target="externalLinks/externalLink107.xml"/><Relationship Id="rId11" Type="http://schemas.openxmlformats.org/officeDocument/2006/relationships/externalLink" Target="externalLinks/externalLink8.xml"/><Relationship Id="rId109" Type="http://schemas.openxmlformats.org/officeDocument/2006/relationships/externalLink" Target="externalLinks/externalLink106.xml"/><Relationship Id="rId108" Type="http://schemas.openxmlformats.org/officeDocument/2006/relationships/externalLink" Target="externalLinks/externalLink105.xml"/><Relationship Id="rId107" Type="http://schemas.openxmlformats.org/officeDocument/2006/relationships/externalLink" Target="externalLinks/externalLink104.xml"/><Relationship Id="rId106" Type="http://schemas.openxmlformats.org/officeDocument/2006/relationships/externalLink" Target="externalLinks/externalLink103.xml"/><Relationship Id="rId105" Type="http://schemas.openxmlformats.org/officeDocument/2006/relationships/externalLink" Target="externalLinks/externalLink102.xml"/><Relationship Id="rId104" Type="http://schemas.openxmlformats.org/officeDocument/2006/relationships/externalLink" Target="externalLinks/externalLink101.xml"/><Relationship Id="rId103" Type="http://schemas.openxmlformats.org/officeDocument/2006/relationships/externalLink" Target="externalLinks/externalLink100.xml"/><Relationship Id="rId102" Type="http://schemas.openxmlformats.org/officeDocument/2006/relationships/externalLink" Target="externalLinks/externalLink99.xml"/><Relationship Id="rId101" Type="http://schemas.openxmlformats.org/officeDocument/2006/relationships/externalLink" Target="externalLinks/externalLink98.xml"/><Relationship Id="rId100" Type="http://schemas.openxmlformats.org/officeDocument/2006/relationships/externalLink" Target="externalLinks/externalLink97.xml"/><Relationship Id="rId10" Type="http://schemas.openxmlformats.org/officeDocument/2006/relationships/externalLink" Target="externalLinks/externalLink7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830;&#21697;&#21407;&#22987;&#25968;&#25454;&#2421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Maugsub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8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K_REVISE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3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mparison%20of%20publish%20rates_2-5-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G%20TRM%20Sept%2020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K%20TRM%20Oct%20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17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euille%20de%20calcul%20dans%20OFFRE%20CARBONE%20LORRAINE%20%20TARIFS%202002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12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8-AJ-0913-2-t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MCTSSP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6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6;&#34892;&#25253;&#20215;20041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20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22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7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24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25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26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ADS%20&#28145;&#22323;%2002JU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Competitor_template_I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27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29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31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CZ%20DayDefinit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68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competitive%20analysis%20working%20template-kr-20030107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&#27704;&#21033;&#20843;&#36798;&#36890;&#20122;&#39532;&#36874;FBA&#19987;&#32447;S2022%202%2022%2020&#65306;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SPI%203%20OB%20Input%20templat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AETRM98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32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BKKNS12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34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Air%20Tariff%20%20-%2020100831_Or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35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TH%20Import%20XPD%20MULTIBOX_02JAN2006_FIN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36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38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PVGNS1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40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Zonas%20para%20RSO%202010%20V0%202%2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UFO%202019&#24180;1&#26376;14&#26085;&#21516;&#34892;&#25253;&#20215;VIP%20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9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42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11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MY%20Rate%20Card%20200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2000Rate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COMCALC200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48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49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Attachment_A_2012(Jun%2020)%20r1%20WanMei%20ZhiZao%2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53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DHL%20&#20840;&#2969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55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56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57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K%20SPI%20New%20OB%20PT_transitional%20P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1999Rates_ref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59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JP%20Import%20Output%20File%205%20Jan%2004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NW&#36135;&#2642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JP%20Export%20Output%20File%205%20Jan%2004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AP%20TRM%20V4%20-%20MY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14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K%20Competitor%20Zone%20Comparison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KH%20Contract%20Rate%20Table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2008&#24180;6&#26376;4&#26085;&#23436;&#25972;&#20215;&#26684;(A&#20215;)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KH%20Rate%20Card%202007%20(add%209EU%20for%2012DOC%20TDD%20rate)%20(20090429)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63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64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65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66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67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2010_OB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Ebit%20C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10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71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72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73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74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75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SG_Competitor_rates_TNT%20old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WUE&#27431;&#27954;&#8220;&#31354;&#27966;&#8221;&#19987;&#32447;5-27&#26085;.xlsx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&#26426;&#22330;&#22825;&#34382;VIP&#25253;&#20215;&#34920;(&#20840;&#21253;&#20215;)20130516(5&#26376;&#31532;09&#21495;).xlsx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2015-01-30&#22343;&#36745;&#23567;&#21253;&#20195;&#29702;VIP1&#20215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328;&#22659;&#26131;&#36890;-&#23567;&#21253;&#25253;&#20215;V%2020180723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~4203687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18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19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21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23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33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TW%20IMP%20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41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43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46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50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52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3rd%20Party%20IMP%20Normal%202003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60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RecoveredExternalLink62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36895;&#36798;20140618A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MY%20Rates%202002_OB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&#29790;&#20856;&#37038;&#25919;&#28165;&#21333;&#26684;&#24335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GCC_Template_M_models_2003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2014%20Contract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DayDefinite%20template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LISTE2002_Brutto_01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Mod_pl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edEx%20comparsion%202006%20Tariff%20with%20UPS%20tariff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MOP_format_New%20Bid%20Application2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TH%20Export%20XPR_2006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TH%20Export%20BOX%20MULTIBOX_02JAN2006_FINAL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&#27743;&#33487;&#33487;&#24030;&#26412;&#37096;&#65288;&#20013;&#22830;&#65289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amyang/Desktop/&#21457;&#36135;&#25968;&#25454;&#33258;&#21160;&#21270;/&#29992;&#25143;&#30446;&#24405;/&#25105;&#30340;&#25991;&#26723;/WeChat%20Files/tsanghailey/Files/&#36328;&#22659;&#26131;&#36890;-&#23567;&#21253;&#25253;&#20215;V%2020180723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amyang/Desktop/&#21457;&#36135;&#25968;&#25454;&#33258;&#21160;&#21270;/H:/BUY/&#24037;&#20316;/RecoveredExternalLink12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amyang/Desktop/&#21457;&#36135;&#25968;&#25454;&#33258;&#21160;&#21270;/H:/BUY/&#24037;&#20316;/RecoveredExternalLink18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amyang/Desktop/&#21457;&#36135;&#25968;&#25454;&#33258;&#21160;&#21270;/H:/BUY/&#24037;&#20316;/RecoveredExternalLink19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amyang/Desktop/&#21457;&#36135;&#25968;&#25454;&#33258;&#21160;&#21270;/F:/DOCUME~1/amaarouf/LOCALS~1/Temp/PRICING_2002/LISTEN_2002/_Baureihe_0x_dummy/LISTE2002_Brutto_01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amyang/Desktop/&#21457;&#36135;&#25968;&#25454;&#33258;&#21160;&#21270;/F:/bekap_ks/CENNIKI/PSG_GCC/Mod_pl4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amyang/Desktop/&#21457;&#36135;&#25968;&#25454;&#33258;&#21160;&#21270;/F:/Users/Administrator/Documents/WeChat%20Files/WangNanmmm/FileStorage/File/2019-05/http:/wss.inside.ups.com/Documents%20and%20Settings/wnn1lxt.ASIAPAC/Local%20Settings/Temporary%20Internet%20Files/OLK5F/FedEx%20comparsion%202006%20Tariff%20with%20UPS%20tariff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amyang/Desktop/&#21457;&#36135;&#25968;&#25454;&#33258;&#21160;&#21270;/F:/Users/Administrator/Documents/WeChat%20Files/WangNanmmm/FileStorage/File/2019-05/http:/wss.inside.ups.com/Documents%20and%20Settings/wnn1lxt.ASIAPAC/Local%20Settings/Temp/TH%20Export%20XPD_2006_Fina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商品管理"/>
      <sheetName val="填写说明"/>
      <sheetName val="3"/>
    </sheetNames>
    <sheetDataSet>
      <sheetData sheetId="0"/>
      <sheetData sheetId="1"/>
      <sheetData sheetId="2">
        <row r="1">
          <cell r="B1" t="str">
            <v>SKU Name</v>
          </cell>
          <cell r="C1" t="str">
            <v>Additional Data</v>
          </cell>
          <cell r="D1" t="str">
            <v>箱数</v>
          </cell>
          <cell r="E1" t="str">
            <v>FBA Warehouse</v>
          </cell>
          <cell r="F1" t="str">
            <v>单箱</v>
          </cell>
          <cell r="G1" t="str">
            <v>总数</v>
          </cell>
          <cell r="H1" t="str">
            <v>单个净重</v>
          </cell>
          <cell r="I1" t="str">
            <v>总净重</v>
          </cell>
          <cell r="J1" t="str">
            <v>包装盒重量</v>
          </cell>
          <cell r="K1" t="str">
            <v>箱子重量</v>
          </cell>
          <cell r="L1" t="str">
            <v>单箱毛重</v>
          </cell>
          <cell r="M1" t="str">
            <v>总毛重</v>
          </cell>
          <cell r="N1" t="str">
            <v>单价(美金)</v>
          </cell>
          <cell r="O1" t="str">
            <v>体积</v>
          </cell>
        </row>
        <row r="1">
          <cell r="Q1" t="str">
            <v>长</v>
          </cell>
          <cell r="R1" t="str">
            <v>宽</v>
          </cell>
          <cell r="S1" t="str">
            <v>高</v>
          </cell>
        </row>
        <row r="2">
          <cell r="B2" t="str">
            <v>AV-CMB-D-Large-Lilac</v>
          </cell>
          <cell r="C2" t="str">
            <v>1006双层大紫</v>
          </cell>
          <cell r="D2">
            <v>1</v>
          </cell>
          <cell r="E2" t="str">
            <v>AVP1</v>
          </cell>
          <cell r="F2">
            <v>20</v>
          </cell>
          <cell r="G2">
            <v>20</v>
          </cell>
          <cell r="H2">
            <v>0.45</v>
          </cell>
          <cell r="I2">
            <v>9</v>
          </cell>
          <cell r="J2">
            <v>0.18</v>
          </cell>
          <cell r="K2">
            <v>1.5</v>
          </cell>
          <cell r="L2">
            <v>14.1</v>
          </cell>
          <cell r="M2">
            <v>282</v>
          </cell>
          <cell r="N2">
            <v>32.5</v>
          </cell>
          <cell r="O2">
            <v>0.13483725</v>
          </cell>
        </row>
        <row r="2">
          <cell r="Q2">
            <v>55.5</v>
          </cell>
          <cell r="R2">
            <v>43</v>
          </cell>
          <cell r="S2">
            <v>56.5</v>
          </cell>
        </row>
        <row r="3">
          <cell r="B3" t="str">
            <v>AV-CMB-DL-Grey</v>
          </cell>
          <cell r="C3" t="str">
            <v>1006双层大灰</v>
          </cell>
          <cell r="D3">
            <v>1</v>
          </cell>
          <cell r="E3" t="str">
            <v>AVP1</v>
          </cell>
          <cell r="F3">
            <v>20</v>
          </cell>
          <cell r="G3">
            <v>20</v>
          </cell>
          <cell r="H3">
            <v>0.45</v>
          </cell>
          <cell r="I3">
            <v>9</v>
          </cell>
          <cell r="J3">
            <v>0.18</v>
          </cell>
          <cell r="K3">
            <v>1.5</v>
          </cell>
          <cell r="L3">
            <v>14.1</v>
          </cell>
          <cell r="M3">
            <v>282</v>
          </cell>
          <cell r="N3">
            <v>32.5</v>
          </cell>
          <cell r="O3">
            <v>0.13483725</v>
          </cell>
        </row>
        <row r="3">
          <cell r="Q3">
            <v>55.5</v>
          </cell>
          <cell r="R3">
            <v>43</v>
          </cell>
          <cell r="S3">
            <v>56.5</v>
          </cell>
        </row>
        <row r="4">
          <cell r="B4" t="str">
            <v>AV-CMB-DLBlack</v>
          </cell>
          <cell r="C4" t="str">
            <v>1006大双层黑色</v>
          </cell>
          <cell r="D4">
            <v>1</v>
          </cell>
          <cell r="E4" t="str">
            <v>AVP1</v>
          </cell>
          <cell r="F4">
            <v>20</v>
          </cell>
          <cell r="G4">
            <v>20</v>
          </cell>
          <cell r="H4">
            <v>0.45</v>
          </cell>
          <cell r="I4">
            <v>9</v>
          </cell>
          <cell r="J4">
            <v>0.18</v>
          </cell>
          <cell r="K4">
            <v>1.5</v>
          </cell>
          <cell r="L4">
            <v>14.1</v>
          </cell>
          <cell r="M4">
            <v>282</v>
          </cell>
          <cell r="N4">
            <v>32.5</v>
          </cell>
          <cell r="O4">
            <v>0.13483725</v>
          </cell>
        </row>
        <row r="4">
          <cell r="Q4">
            <v>55.5</v>
          </cell>
          <cell r="R4">
            <v>43</v>
          </cell>
          <cell r="S4">
            <v>56.5</v>
          </cell>
        </row>
        <row r="5">
          <cell r="B5" t="str">
            <v>AV-CMB-DLP-M</v>
          </cell>
          <cell r="C5" t="str">
            <v>1005双层小粉</v>
          </cell>
          <cell r="D5">
            <v>1</v>
          </cell>
          <cell r="E5" t="str">
            <v>AVP1</v>
          </cell>
          <cell r="F5">
            <v>24</v>
          </cell>
          <cell r="G5">
            <v>24</v>
          </cell>
          <cell r="H5">
            <v>0.39</v>
          </cell>
          <cell r="I5">
            <v>9.36</v>
          </cell>
          <cell r="J5">
            <v>0.18</v>
          </cell>
          <cell r="K5">
            <v>1.5</v>
          </cell>
          <cell r="L5">
            <v>15.18</v>
          </cell>
          <cell r="M5">
            <v>364.32</v>
          </cell>
          <cell r="N5">
            <v>31.5</v>
          </cell>
          <cell r="O5">
            <v>0.12903</v>
          </cell>
        </row>
        <row r="5">
          <cell r="Q5">
            <v>51</v>
          </cell>
          <cell r="R5">
            <v>57.5</v>
          </cell>
          <cell r="S5">
            <v>44</v>
          </cell>
        </row>
        <row r="6">
          <cell r="B6" t="str">
            <v>AV-CMB-DLW1</v>
          </cell>
          <cell r="C6" t="str">
            <v>1006大白双层新链接</v>
          </cell>
          <cell r="D6">
            <v>4</v>
          </cell>
          <cell r="E6" t="str">
            <v>AVP1</v>
          </cell>
          <cell r="F6">
            <v>20</v>
          </cell>
          <cell r="G6">
            <v>80</v>
          </cell>
          <cell r="H6">
            <v>0.45</v>
          </cell>
          <cell r="I6">
            <v>36</v>
          </cell>
          <cell r="J6">
            <v>0.18</v>
          </cell>
          <cell r="K6">
            <v>1.5</v>
          </cell>
          <cell r="L6">
            <v>14.1</v>
          </cell>
          <cell r="M6">
            <v>282</v>
          </cell>
          <cell r="N6">
            <v>32.5</v>
          </cell>
          <cell r="O6">
            <v>0.13483725</v>
          </cell>
        </row>
        <row r="6">
          <cell r="Q6">
            <v>55.5</v>
          </cell>
          <cell r="R6">
            <v>43</v>
          </cell>
          <cell r="S6">
            <v>56.5</v>
          </cell>
        </row>
        <row r="7">
          <cell r="B7" t="str">
            <v>AV-CMB-LM-Blue</v>
          </cell>
          <cell r="C7" t="str">
            <v>1018盒子包大小蓝</v>
          </cell>
          <cell r="D7">
            <v>1</v>
          </cell>
          <cell r="E7" t="str">
            <v>AVP1</v>
          </cell>
          <cell r="F7">
            <v>24</v>
          </cell>
          <cell r="G7">
            <v>24</v>
          </cell>
          <cell r="H7">
            <v>0.57</v>
          </cell>
          <cell r="I7">
            <v>13.68</v>
          </cell>
          <cell r="J7">
            <v>0.1</v>
          </cell>
          <cell r="K7">
            <v>1.5</v>
          </cell>
          <cell r="L7">
            <v>17.58</v>
          </cell>
          <cell r="M7">
            <v>421.92</v>
          </cell>
          <cell r="N7">
            <v>36</v>
          </cell>
          <cell r="O7">
            <v>0.11872</v>
          </cell>
        </row>
        <row r="7">
          <cell r="Q7">
            <v>53</v>
          </cell>
          <cell r="R7">
            <v>40</v>
          </cell>
          <cell r="S7">
            <v>56</v>
          </cell>
        </row>
        <row r="8">
          <cell r="B8" t="str">
            <v>AV-CMB-LM-Pink</v>
          </cell>
          <cell r="C8" t="str">
            <v>1018盒子包大小粉</v>
          </cell>
          <cell r="D8">
            <v>1</v>
          </cell>
          <cell r="E8" t="str">
            <v>AVP1</v>
          </cell>
          <cell r="F8">
            <v>24</v>
          </cell>
          <cell r="G8">
            <v>24</v>
          </cell>
          <cell r="H8">
            <v>0.57</v>
          </cell>
          <cell r="I8">
            <v>13.68</v>
          </cell>
          <cell r="J8">
            <v>0.1</v>
          </cell>
          <cell r="K8">
            <v>1.5</v>
          </cell>
          <cell r="L8">
            <v>17.58</v>
          </cell>
          <cell r="M8">
            <v>421.92</v>
          </cell>
          <cell r="N8">
            <v>36</v>
          </cell>
          <cell r="O8">
            <v>0.11872</v>
          </cell>
        </row>
        <row r="8">
          <cell r="Q8">
            <v>53</v>
          </cell>
          <cell r="R8">
            <v>40</v>
          </cell>
          <cell r="S8">
            <v>56</v>
          </cell>
        </row>
        <row r="9">
          <cell r="B9" t="str">
            <v>AV-CMB-LM-White</v>
          </cell>
          <cell r="C9" t="str">
            <v>1008盒子包大小白</v>
          </cell>
          <cell r="D9">
            <v>2</v>
          </cell>
          <cell r="E9" t="str">
            <v>AVP1</v>
          </cell>
          <cell r="F9">
            <v>24</v>
          </cell>
          <cell r="G9">
            <v>48</v>
          </cell>
          <cell r="H9">
            <v>0.57</v>
          </cell>
          <cell r="I9">
            <v>27.36</v>
          </cell>
          <cell r="J9">
            <v>0.1</v>
          </cell>
          <cell r="K9">
            <v>1.5</v>
          </cell>
          <cell r="L9">
            <v>17.58</v>
          </cell>
          <cell r="M9">
            <v>421.92</v>
          </cell>
          <cell r="N9">
            <v>34</v>
          </cell>
          <cell r="O9">
            <v>0.11872</v>
          </cell>
        </row>
        <row r="9">
          <cell r="Q9">
            <v>53</v>
          </cell>
          <cell r="R9">
            <v>40</v>
          </cell>
          <cell r="S9">
            <v>56</v>
          </cell>
        </row>
        <row r="10">
          <cell r="B10" t="str">
            <v>AV-CMB-W-Mini-Midi</v>
          </cell>
          <cell r="C10" t="str">
            <v>1017小白-mini白混装</v>
          </cell>
          <cell r="D10">
            <v>1</v>
          </cell>
          <cell r="E10" t="str">
            <v>AVP1</v>
          </cell>
          <cell r="F10">
            <v>42</v>
          </cell>
          <cell r="G10">
            <v>42</v>
          </cell>
          <cell r="H10">
            <v>0.4</v>
          </cell>
          <cell r="I10">
            <v>16.8</v>
          </cell>
          <cell r="J10">
            <v>0.1</v>
          </cell>
          <cell r="K10">
            <v>1.5</v>
          </cell>
          <cell r="L10">
            <v>22.5</v>
          </cell>
          <cell r="M10">
            <v>945</v>
          </cell>
          <cell r="N10">
            <v>33</v>
          </cell>
          <cell r="O10">
            <v>0.127041</v>
          </cell>
        </row>
        <row r="10">
          <cell r="Q10">
            <v>53</v>
          </cell>
          <cell r="R10">
            <v>47</v>
          </cell>
          <cell r="S10">
            <v>51</v>
          </cell>
        </row>
        <row r="11">
          <cell r="B11" t="str">
            <v>AV-CMB-WS</v>
          </cell>
          <cell r="C11" t="str">
            <v>1002白色小包深圳</v>
          </cell>
          <cell r="D11">
            <v>11</v>
          </cell>
          <cell r="E11" t="str">
            <v>AVP1</v>
          </cell>
          <cell r="F11">
            <v>42</v>
          </cell>
          <cell r="G11">
            <v>462</v>
          </cell>
          <cell r="H11">
            <v>0.24</v>
          </cell>
          <cell r="I11">
            <v>110.88</v>
          </cell>
          <cell r="J11">
            <v>0.1</v>
          </cell>
          <cell r="K11">
            <v>1.5</v>
          </cell>
          <cell r="L11">
            <v>15.78</v>
          </cell>
          <cell r="M11">
            <v>662.76</v>
          </cell>
          <cell r="N11">
            <v>16</v>
          </cell>
          <cell r="O11">
            <v>0.127041</v>
          </cell>
        </row>
        <row r="11">
          <cell r="Q11">
            <v>53</v>
          </cell>
          <cell r="R11">
            <v>47</v>
          </cell>
          <cell r="S11">
            <v>51</v>
          </cell>
        </row>
        <row r="12">
          <cell r="B12" t="str">
            <v>AV-FL-Bunny</v>
          </cell>
          <cell r="C12" t="str">
            <v>1013枕头包熊和兔子</v>
          </cell>
          <cell r="D12">
            <v>1</v>
          </cell>
          <cell r="E12" t="str">
            <v>AVP1</v>
          </cell>
          <cell r="F12">
            <v>24</v>
          </cell>
          <cell r="G12">
            <v>24</v>
          </cell>
          <cell r="H12">
            <v>0.28</v>
          </cell>
          <cell r="I12">
            <v>6.72</v>
          </cell>
          <cell r="J12">
            <v>0</v>
          </cell>
          <cell r="K12">
            <v>1.5</v>
          </cell>
          <cell r="L12">
            <v>8.22</v>
          </cell>
          <cell r="M12">
            <v>197.28</v>
          </cell>
          <cell r="N12">
            <v>23</v>
          </cell>
          <cell r="O12">
            <v>0.115596</v>
          </cell>
        </row>
        <row r="12">
          <cell r="Q12">
            <v>57</v>
          </cell>
          <cell r="R12">
            <v>52</v>
          </cell>
          <cell r="S12">
            <v>39</v>
          </cell>
        </row>
        <row r="13">
          <cell r="B13" t="str">
            <v>AV-FL-MoonCat</v>
          </cell>
          <cell r="C13" t="str">
            <v>1013枕头包月亮猫</v>
          </cell>
          <cell r="D13">
            <v>1</v>
          </cell>
          <cell r="E13" t="str">
            <v>AVP1</v>
          </cell>
          <cell r="F13">
            <v>24</v>
          </cell>
          <cell r="G13">
            <v>24</v>
          </cell>
          <cell r="H13">
            <v>0.28</v>
          </cell>
          <cell r="I13">
            <v>6.72</v>
          </cell>
          <cell r="J13">
            <v>0</v>
          </cell>
          <cell r="K13">
            <v>1.5</v>
          </cell>
          <cell r="L13">
            <v>8.22</v>
          </cell>
          <cell r="M13">
            <v>197.28</v>
          </cell>
          <cell r="N13">
            <v>23</v>
          </cell>
          <cell r="O13">
            <v>0.115596</v>
          </cell>
        </row>
        <row r="13">
          <cell r="Q13">
            <v>57</v>
          </cell>
          <cell r="R13">
            <v>52</v>
          </cell>
          <cell r="S13">
            <v>39</v>
          </cell>
        </row>
        <row r="14">
          <cell r="B14" t="str">
            <v>AV-FL-Otter</v>
          </cell>
          <cell r="C14" t="str">
            <v>1013枕头包水獭</v>
          </cell>
          <cell r="D14">
            <v>1</v>
          </cell>
          <cell r="E14" t="str">
            <v>AVP1</v>
          </cell>
          <cell r="F14">
            <v>24</v>
          </cell>
          <cell r="G14">
            <v>24</v>
          </cell>
          <cell r="H14">
            <v>0.28</v>
          </cell>
          <cell r="I14">
            <v>6.72</v>
          </cell>
          <cell r="J14">
            <v>0</v>
          </cell>
          <cell r="K14">
            <v>1.5</v>
          </cell>
          <cell r="L14">
            <v>8.22</v>
          </cell>
          <cell r="M14">
            <v>197.28</v>
          </cell>
          <cell r="N14">
            <v>23</v>
          </cell>
          <cell r="O14">
            <v>0.115596</v>
          </cell>
        </row>
        <row r="14">
          <cell r="Q14">
            <v>57</v>
          </cell>
          <cell r="R14">
            <v>52</v>
          </cell>
          <cell r="S14">
            <v>39</v>
          </cell>
        </row>
        <row r="15">
          <cell r="B15" t="str">
            <v>AV-LCMB-Black1</v>
          </cell>
          <cell r="C15" t="str">
            <v>1008大透明包新黑色</v>
          </cell>
          <cell r="D15">
            <v>1</v>
          </cell>
          <cell r="E15" t="str">
            <v>AVP1</v>
          </cell>
          <cell r="F15">
            <v>24</v>
          </cell>
          <cell r="G15">
            <v>24</v>
          </cell>
          <cell r="H15">
            <v>0.3</v>
          </cell>
          <cell r="I15">
            <v>7.2</v>
          </cell>
          <cell r="J15">
            <v>0.1</v>
          </cell>
          <cell r="K15">
            <v>1.5</v>
          </cell>
          <cell r="L15">
            <v>11.1</v>
          </cell>
          <cell r="M15">
            <v>266.4</v>
          </cell>
          <cell r="N15">
            <v>23</v>
          </cell>
          <cell r="O15">
            <v>0.124696</v>
          </cell>
        </row>
        <row r="15">
          <cell r="Q15">
            <v>52</v>
          </cell>
          <cell r="R15">
            <v>54.5</v>
          </cell>
          <cell r="S15">
            <v>44</v>
          </cell>
        </row>
        <row r="16">
          <cell r="B16" t="str">
            <v>AV-LCMB-Pink1</v>
          </cell>
          <cell r="C16" t="str">
            <v>1008大透明包粉色新</v>
          </cell>
          <cell r="D16">
            <v>1</v>
          </cell>
          <cell r="E16" t="str">
            <v>AVP1</v>
          </cell>
          <cell r="F16">
            <v>24</v>
          </cell>
          <cell r="G16">
            <v>24</v>
          </cell>
          <cell r="H16">
            <v>0.3</v>
          </cell>
          <cell r="I16">
            <v>7.2</v>
          </cell>
          <cell r="J16">
            <v>0.1</v>
          </cell>
          <cell r="K16">
            <v>1.5</v>
          </cell>
          <cell r="L16">
            <v>11.1</v>
          </cell>
          <cell r="M16">
            <v>266.4</v>
          </cell>
          <cell r="N16">
            <v>23</v>
          </cell>
          <cell r="O16">
            <v>0.124696</v>
          </cell>
        </row>
        <row r="16">
          <cell r="Q16">
            <v>52</v>
          </cell>
          <cell r="R16">
            <v>54.5</v>
          </cell>
          <cell r="S16">
            <v>44</v>
          </cell>
        </row>
        <row r="17">
          <cell r="B17" t="str">
            <v>AV-MZP-Black-S</v>
          </cell>
          <cell r="C17" t="str">
            <v>1014袋子包黑色小</v>
          </cell>
          <cell r="D17">
            <v>1</v>
          </cell>
          <cell r="E17" t="str">
            <v>AVP1</v>
          </cell>
          <cell r="F17">
            <v>48</v>
          </cell>
          <cell r="G17">
            <v>48</v>
          </cell>
          <cell r="H17">
            <v>0.16</v>
          </cell>
          <cell r="I17">
            <v>7.68</v>
          </cell>
          <cell r="J17">
            <v>0</v>
          </cell>
          <cell r="K17">
            <v>1.5</v>
          </cell>
          <cell r="L17">
            <v>9.18</v>
          </cell>
          <cell r="M17">
            <v>440.64</v>
          </cell>
          <cell r="N17">
            <v>14</v>
          </cell>
          <cell r="O17">
            <v>0.10584</v>
          </cell>
        </row>
        <row r="17">
          <cell r="Q17">
            <v>42</v>
          </cell>
          <cell r="R17">
            <v>42</v>
          </cell>
          <cell r="S17">
            <v>60</v>
          </cell>
        </row>
        <row r="18">
          <cell r="B18" t="str">
            <v>AV-MZP-Cream-S</v>
          </cell>
          <cell r="C18" t="str">
            <v>1014袋子包小白</v>
          </cell>
          <cell r="D18">
            <v>1</v>
          </cell>
          <cell r="E18" t="str">
            <v>AVP1</v>
          </cell>
          <cell r="F18">
            <v>48</v>
          </cell>
          <cell r="G18">
            <v>48</v>
          </cell>
          <cell r="H18">
            <v>0.16</v>
          </cell>
          <cell r="I18">
            <v>7.68</v>
          </cell>
          <cell r="J18">
            <v>0</v>
          </cell>
          <cell r="K18">
            <v>1.5</v>
          </cell>
          <cell r="L18">
            <v>9.18</v>
          </cell>
          <cell r="M18">
            <v>440.64</v>
          </cell>
          <cell r="N18">
            <v>14</v>
          </cell>
          <cell r="O18">
            <v>0.10584</v>
          </cell>
        </row>
        <row r="18">
          <cell r="Q18">
            <v>42</v>
          </cell>
          <cell r="R18">
            <v>42</v>
          </cell>
          <cell r="S18">
            <v>60</v>
          </cell>
        </row>
        <row r="19">
          <cell r="B19" t="str">
            <v>P7-ERIK-PUBF</v>
          </cell>
          <cell r="C19" t="str">
            <v>1002黑色小包深圳</v>
          </cell>
          <cell r="D19">
            <v>2</v>
          </cell>
          <cell r="E19" t="str">
            <v>AVP1</v>
          </cell>
          <cell r="F19">
            <v>42</v>
          </cell>
          <cell r="G19">
            <v>84</v>
          </cell>
          <cell r="H19">
            <v>0.24</v>
          </cell>
          <cell r="I19">
            <v>20.16</v>
          </cell>
          <cell r="J19">
            <v>0</v>
          </cell>
          <cell r="K19">
            <v>1.5</v>
          </cell>
          <cell r="L19">
            <v>11.58</v>
          </cell>
          <cell r="M19">
            <v>486.36</v>
          </cell>
          <cell r="N19">
            <v>19</v>
          </cell>
          <cell r="O19">
            <v>0.127041</v>
          </cell>
        </row>
        <row r="19">
          <cell r="Q19">
            <v>53</v>
          </cell>
          <cell r="R19">
            <v>47</v>
          </cell>
          <cell r="S19">
            <v>51</v>
          </cell>
        </row>
        <row r="20">
          <cell r="B20" t="str">
            <v>Z6-Z0WQ-CRCK</v>
          </cell>
          <cell r="C20" t="str">
            <v>1004大白包</v>
          </cell>
          <cell r="D20">
            <v>1</v>
          </cell>
          <cell r="E20" t="str">
            <v>AVP1</v>
          </cell>
          <cell r="F20">
            <v>24</v>
          </cell>
          <cell r="G20">
            <v>24</v>
          </cell>
          <cell r="H20">
            <v>0.33</v>
          </cell>
          <cell r="I20">
            <v>7.92</v>
          </cell>
          <cell r="J20">
            <v>0.1</v>
          </cell>
          <cell r="K20">
            <v>1.5</v>
          </cell>
          <cell r="L20">
            <v>11.82</v>
          </cell>
          <cell r="M20">
            <v>283.68</v>
          </cell>
          <cell r="N20">
            <v>26</v>
          </cell>
          <cell r="O20">
            <v>0.11872</v>
          </cell>
        </row>
        <row r="20">
          <cell r="Q20">
            <v>53</v>
          </cell>
          <cell r="R20">
            <v>40</v>
          </cell>
          <cell r="S20">
            <v>56</v>
          </cell>
        </row>
        <row r="21">
          <cell r="B21" t="str">
            <v>AV-CMB-WS-Thin</v>
          </cell>
          <cell r="C21" t="str">
            <v>1007透明包长条白色新款</v>
          </cell>
        </row>
        <row r="21">
          <cell r="E21" t="str">
            <v>AVP1</v>
          </cell>
          <cell r="F21">
            <v>84</v>
          </cell>
          <cell r="G21">
            <v>43</v>
          </cell>
          <cell r="H21">
            <v>0.14</v>
          </cell>
          <cell r="I21">
            <v>6.02</v>
          </cell>
          <cell r="J21">
            <v>0.6</v>
          </cell>
          <cell r="K21">
            <v>1.5</v>
          </cell>
        </row>
        <row r="21">
          <cell r="N21">
            <v>18</v>
          </cell>
          <cell r="O21">
            <v>0.127041</v>
          </cell>
        </row>
        <row r="21">
          <cell r="Q21">
            <v>53</v>
          </cell>
          <cell r="R21">
            <v>47</v>
          </cell>
          <cell r="S21">
            <v>51</v>
          </cell>
        </row>
        <row r="22">
          <cell r="B22" t="str">
            <v>AV-CMB-Taupe-Thin</v>
          </cell>
          <cell r="C22" t="str">
            <v>1007透明包长条大象棕色新款</v>
          </cell>
        </row>
        <row r="22">
          <cell r="E22" t="str">
            <v>AVP1</v>
          </cell>
          <cell r="F22">
            <v>84</v>
          </cell>
          <cell r="G22">
            <v>9</v>
          </cell>
          <cell r="H22">
            <v>0.14</v>
          </cell>
          <cell r="I22">
            <v>1.26</v>
          </cell>
          <cell r="J22">
            <v>0.6</v>
          </cell>
          <cell r="K22">
            <v>1.5</v>
          </cell>
        </row>
        <row r="22">
          <cell r="N22">
            <v>18</v>
          </cell>
          <cell r="O22">
            <v>0.127041</v>
          </cell>
        </row>
        <row r="22">
          <cell r="Q22">
            <v>53</v>
          </cell>
          <cell r="R22">
            <v>47</v>
          </cell>
          <cell r="S22">
            <v>51</v>
          </cell>
        </row>
        <row r="23">
          <cell r="B23" t="str">
            <v>AV-CMB-Black-Thin</v>
          </cell>
          <cell r="C23" t="str">
            <v>1007透明包长条黑色新款 </v>
          </cell>
        </row>
        <row r="23">
          <cell r="E23" t="str">
            <v>AVP1</v>
          </cell>
          <cell r="F23">
            <v>84</v>
          </cell>
          <cell r="G23">
            <v>16</v>
          </cell>
          <cell r="H23">
            <v>0.14</v>
          </cell>
          <cell r="I23">
            <v>2.24</v>
          </cell>
          <cell r="J23">
            <v>0.6</v>
          </cell>
          <cell r="K23">
            <v>1.5</v>
          </cell>
        </row>
        <row r="23">
          <cell r="N23">
            <v>18</v>
          </cell>
          <cell r="O23">
            <v>0.127041</v>
          </cell>
        </row>
        <row r="23">
          <cell r="Q23">
            <v>53</v>
          </cell>
          <cell r="R23">
            <v>47</v>
          </cell>
          <cell r="S23">
            <v>51</v>
          </cell>
        </row>
        <row r="24">
          <cell r="B24" t="str">
            <v>AV-CMB-PitayaPink-Thin</v>
          </cell>
          <cell r="C24" t="str">
            <v>1007透明包长条玫红新款</v>
          </cell>
        </row>
        <row r="24">
          <cell r="E24" t="str">
            <v>AVP1</v>
          </cell>
          <cell r="F24">
            <v>84</v>
          </cell>
          <cell r="G24">
            <v>16</v>
          </cell>
          <cell r="H24">
            <v>0.14</v>
          </cell>
          <cell r="I24">
            <v>2.24</v>
          </cell>
          <cell r="J24">
            <v>0.6</v>
          </cell>
          <cell r="K24">
            <v>1.5</v>
          </cell>
        </row>
        <row r="24">
          <cell r="N24">
            <v>18</v>
          </cell>
          <cell r="O24">
            <v>0.127041</v>
          </cell>
        </row>
        <row r="24">
          <cell r="Q24">
            <v>53</v>
          </cell>
          <cell r="R24">
            <v>47</v>
          </cell>
          <cell r="S24">
            <v>51</v>
          </cell>
        </row>
        <row r="25">
          <cell r="B25" t="str">
            <v>AV-CrossB-Black</v>
          </cell>
          <cell r="C25" t="str">
            <v>1009斜挎包黑色</v>
          </cell>
        </row>
        <row r="25">
          <cell r="E25" t="str">
            <v>AVP1</v>
          </cell>
          <cell r="F25">
            <v>66</v>
          </cell>
          <cell r="G25">
            <v>20</v>
          </cell>
          <cell r="H25">
            <v>0.17</v>
          </cell>
          <cell r="I25">
            <v>3.4</v>
          </cell>
          <cell r="J25">
            <v>0</v>
          </cell>
          <cell r="K25">
            <v>1.5</v>
          </cell>
        </row>
        <row r="25">
          <cell r="N25">
            <v>11</v>
          </cell>
          <cell r="O25">
            <v>0.12166875</v>
          </cell>
        </row>
        <row r="25">
          <cell r="Q25">
            <v>51.5</v>
          </cell>
          <cell r="R25">
            <v>45</v>
          </cell>
          <cell r="S25">
            <v>52.5</v>
          </cell>
        </row>
        <row r="26">
          <cell r="B26" t="str">
            <v>AV-CrossB-Beige</v>
          </cell>
          <cell r="C26" t="str">
            <v>1009斜挎包米白</v>
          </cell>
        </row>
        <row r="26">
          <cell r="E26" t="str">
            <v>AVP1</v>
          </cell>
          <cell r="F26">
            <v>66</v>
          </cell>
          <cell r="G26">
            <v>16</v>
          </cell>
          <cell r="H26">
            <v>0.17</v>
          </cell>
          <cell r="I26">
            <v>2.72</v>
          </cell>
          <cell r="J26">
            <v>0</v>
          </cell>
          <cell r="K26">
            <v>1.5</v>
          </cell>
        </row>
        <row r="26">
          <cell r="N26">
            <v>11</v>
          </cell>
          <cell r="O26">
            <v>0.12166875</v>
          </cell>
        </row>
        <row r="26">
          <cell r="Q26">
            <v>51.5</v>
          </cell>
          <cell r="R26">
            <v>45</v>
          </cell>
          <cell r="S26">
            <v>52.5</v>
          </cell>
        </row>
        <row r="27">
          <cell r="B27" t="str">
            <v>AV-CrossB-Orange</v>
          </cell>
          <cell r="C27" t="str">
            <v>1009斜挎包橙色</v>
          </cell>
        </row>
        <row r="27">
          <cell r="E27" t="str">
            <v>AVP1</v>
          </cell>
          <cell r="F27">
            <v>66</v>
          </cell>
          <cell r="G27">
            <v>14</v>
          </cell>
          <cell r="H27">
            <v>0.17</v>
          </cell>
          <cell r="I27">
            <v>2.38</v>
          </cell>
          <cell r="J27">
            <v>0</v>
          </cell>
          <cell r="K27">
            <v>1.5</v>
          </cell>
        </row>
        <row r="27">
          <cell r="N27">
            <v>11</v>
          </cell>
          <cell r="O27">
            <v>0.12166875</v>
          </cell>
        </row>
        <row r="27">
          <cell r="Q27">
            <v>51.5</v>
          </cell>
          <cell r="R27">
            <v>45</v>
          </cell>
          <cell r="S27">
            <v>52.5</v>
          </cell>
        </row>
        <row r="28">
          <cell r="B28" t="str">
            <v>AV-CrossB-Blue</v>
          </cell>
          <cell r="C28" t="str">
            <v>1009斜挎包蓝色</v>
          </cell>
        </row>
        <row r="28">
          <cell r="E28" t="str">
            <v>AVP1</v>
          </cell>
          <cell r="F28">
            <v>66</v>
          </cell>
          <cell r="G28">
            <v>8</v>
          </cell>
          <cell r="H28">
            <v>0.17</v>
          </cell>
          <cell r="I28">
            <v>1.36</v>
          </cell>
          <cell r="J28">
            <v>0</v>
          </cell>
          <cell r="K28">
            <v>1.5</v>
          </cell>
        </row>
        <row r="28">
          <cell r="N28">
            <v>11</v>
          </cell>
          <cell r="O28">
            <v>0.12166875</v>
          </cell>
        </row>
        <row r="28">
          <cell r="Q28">
            <v>51.5</v>
          </cell>
          <cell r="R28">
            <v>45</v>
          </cell>
          <cell r="S28">
            <v>52.5</v>
          </cell>
        </row>
        <row r="29">
          <cell r="B29" t="str">
            <v>AV-CrossB-Pink</v>
          </cell>
          <cell r="C29" t="str">
            <v>1009斜挎包粉色</v>
          </cell>
        </row>
        <row r="29">
          <cell r="E29" t="str">
            <v>AVP1</v>
          </cell>
          <cell r="F29">
            <v>66</v>
          </cell>
          <cell r="G29">
            <v>8</v>
          </cell>
          <cell r="H29">
            <v>0.17</v>
          </cell>
          <cell r="I29">
            <v>1.36</v>
          </cell>
          <cell r="J29">
            <v>0</v>
          </cell>
          <cell r="K29">
            <v>1.5</v>
          </cell>
        </row>
        <row r="29">
          <cell r="N29">
            <v>11</v>
          </cell>
          <cell r="O29">
            <v>0.12166875</v>
          </cell>
        </row>
        <row r="29">
          <cell r="Q29">
            <v>51.5</v>
          </cell>
          <cell r="R29">
            <v>45</v>
          </cell>
          <cell r="S29">
            <v>52.5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Y"/>
      <sheetName val="ID"/>
      <sheetName val="NZ"/>
      <sheetName val="TH"/>
      <sheetName val="CN"/>
      <sheetName val="CN Zone"/>
      <sheetName val="AU"/>
      <sheetName val="AU Z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urrent Tariff"/>
      <sheetName val="Unit Costs"/>
      <sheetName val="Shipment costs"/>
      <sheetName val="Zones"/>
      <sheetName val="DEF Rate Table"/>
      <sheetName val="Competitors"/>
      <sheetName val="New Tariff"/>
      <sheetName val="OB Contracts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  <sheetName val="Current Costs"/>
      <sheetName val="Current Cost Card $"/>
      <sheetName val="Current Margin card %"/>
      <sheetName val="Graph"/>
      <sheetName val="New Costs"/>
      <sheetName val="New Cost Card $"/>
      <sheetName val="New Margin card %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  <sheetName val="New Margin card % "/>
      <sheetName val="Contract Rates"/>
      <sheetName val="Contract Rates Schedule"/>
      <sheetName val="Discount"/>
      <sheetName val="Sheet1"/>
      <sheetName val="Sheet2"/>
      <sheetName val="Sheet3"/>
      <sheetName val="DATA"/>
      <sheetName val="RERATE"/>
      <sheetName val="RATES"/>
      <sheetName val="TARIFF"/>
      <sheetName val="LOOKUP"/>
      <sheetName val="Instructions"/>
      <sheetName val="Request"/>
      <sheetName val="Shipments - lb"/>
      <sheetName val="Shipments - kg"/>
      <sheetName val="Discounts - lb"/>
      <sheetName val="Discounts - kg"/>
      <sheetName val="Shipments - lb current"/>
      <sheetName val="Shipments - lb total"/>
      <sheetName val="Approved Discts-lb"/>
      <sheetName val="Shipments - kg current"/>
      <sheetName val="Shipments - kg total"/>
      <sheetName val="Approved Discts-kg"/>
      <sheetName val="Countries"/>
      <sheetName val="TempVariables"/>
      <sheetName val="Shipments - current"/>
      <sheetName val="Summary"/>
      <sheetName val="Shipment Data"/>
      <sheetName val="Pivot"/>
      <sheetName val="Unit Rates"/>
      <sheetName val="Rate Lookup"/>
      <sheetName val="Rate Sheet"/>
      <sheetName val="挂号 HKDGM-BQ 旧"/>
      <sheetName val="挂号 HKDGM-UDF新"/>
      <sheetName val="Express"/>
      <sheetName val="Expedited"/>
      <sheetName val="Rates Mar"/>
      <sheetName val="Average"/>
      <sheetName val="MY"/>
      <sheetName val="ID"/>
      <sheetName val="NZ"/>
      <sheetName val="TH"/>
      <sheetName val="CN"/>
      <sheetName val="CN Zone"/>
      <sheetName val="AU"/>
      <sheetName val="AU Zone"/>
      <sheetName val="#REF!"/>
      <sheetName val="Final_DHL Express Envelope"/>
      <sheetName val="Parameters"/>
      <sheetName val="PIVOTS"/>
      <sheetName val="ZONING"/>
      <sheetName val="WEIGHTBREAKS"/>
      <sheetName val="DHL EXPRESS 9"/>
      <sheetName val="DHL EXPRESS 12"/>
      <sheetName val="DHL EXPRESS"/>
      <sheetName val="DHL IMPORT EXPRESS 9"/>
      <sheetName val="DHL IMPORT EXPRESS 12"/>
      <sheetName val="DHL IMPORT EXPRESS"/>
      <sheetName val="DHL Europlus"/>
      <sheetName val="DHL Europack Domestic"/>
      <sheetName val="DHL Multi-Colli Domestic"/>
      <sheetName val="TD Zoning"/>
      <sheetName val="DD Zoning"/>
      <sheetName val="DD Domestic Zoning"/>
      <sheetName val="NO TD Services and surcharges"/>
      <sheetName val="NO DD Services and surcharges"/>
      <sheetName val="DHL DOMESTIC EXPRESS"/>
      <sheetName val="DHL Economy Select Multi"/>
      <sheetName val="DHL Economy Select Single"/>
      <sheetName val="DHL Import Economy Multi"/>
      <sheetName val="DHL Import Economy Single"/>
      <sheetName val="TD Services and surcharges"/>
      <sheetName val="DD Services and surcharges"/>
      <sheetName val="0000000"/>
      <sheetName val="CN-DOX_WPX Rate"/>
      <sheetName val="IN-DOX &amp; WPX Rate"/>
      <sheetName val="IN-Zone"/>
      <sheetName val="ID-DOX Rate"/>
      <sheetName val="ID-Zone"/>
      <sheetName val="JP-DOX Rate"/>
      <sheetName val="JP-WPX Rate"/>
      <sheetName val="KR-DOX RATE"/>
      <sheetName val="KR-WPX Rate"/>
      <sheetName val="KR-ZONE"/>
      <sheetName val="MY-DOX Rate"/>
      <sheetName val="MY-WPX Rate"/>
      <sheetName val="PH-DOX Rate"/>
      <sheetName val="PH-WPX Rate"/>
      <sheetName val="PH-Zone"/>
      <sheetName val="PK-DOX_WPX_Box_Rate"/>
      <sheetName val="PK-DOX (43% Discount)"/>
      <sheetName val="PK-Zone"/>
      <sheetName val="LK-DOX Rate"/>
      <sheetName val="LK-WPX Rate"/>
      <sheetName val="LK-Zone"/>
      <sheetName val="SG-DOX Rate"/>
      <sheetName val="SG-WPX Rate"/>
      <sheetName val="SG-Zone"/>
      <sheetName val="TH-DOX (GST) Rate"/>
      <sheetName val="TH-WPX (GST) Rate"/>
      <sheetName val="TH-DOX (Rest)"/>
      <sheetName val="TH-WPX (Rest)"/>
      <sheetName val="TH-Zone"/>
      <sheetName val="TW-DOX_WPX Rate"/>
      <sheetName val="VN-DOX_WPX_Rate"/>
      <sheetName val="VN-Zone"/>
      <sheetName val="PK-DOX (43% Discount) (2)"/>
      <sheetName val="PK-Cash DOX Rate"/>
      <sheetName val="Template Guidance"/>
      <sheetName val="TD"/>
      <sheetName val="Services &amp; Surcharges"/>
      <sheetName val="Discount Policy"/>
      <sheetName val="TD_definition"/>
      <sheetName val="REF-Country-Station"/>
      <sheetName val="TDExport_WW"/>
      <sheetName val="TDExport_Pre9_1030"/>
      <sheetName val="TDExport_Pre12"/>
      <sheetName val="TDImport_WW"/>
      <sheetName val="TDImport_Pre9_1030"/>
      <sheetName val="TDImport_Pre12"/>
      <sheetName val="Customs Services"/>
      <sheetName val="Zones TD"/>
      <sheetName val="Zones TD (Imp_Pre9_1030_12)"/>
      <sheetName val="SAME DAY"/>
      <sheetName val="JETLINE"/>
      <sheetName val="SPRINTLINE"/>
      <sheetName val="SECURELINE"/>
      <sheetName val="DD Economy Select"/>
      <sheetName val="DD Import Economy Select"/>
      <sheetName val="DD Domestic Economy Select"/>
      <sheetName val="Zones DD"/>
      <sheetName val="Business Requirements"/>
      <sheetName val="Measures"/>
      <sheetName val="Master"/>
      <sheetName val="Harmonize"/>
      <sheetName val="Multiple Cy (20)"/>
      <sheetName val="Description"/>
      <sheetName val="Exchange Rates"/>
      <sheetName val="Change Log"/>
      <sheetName val="WeightBreak"/>
      <sheetName val="G010015P3"/>
      <sheetName val="G020015P3"/>
      <sheetName val="G030015P3"/>
      <sheetName val="G040015P3"/>
      <sheetName val="G050015P3"/>
      <sheetName val="G060015P3"/>
      <sheetName val="G070015P3"/>
      <sheetName val="G080015P3"/>
      <sheetName val="G090015P3"/>
      <sheetName val="G100015P3"/>
      <sheetName val="G110015P3"/>
      <sheetName val="G120015P3"/>
      <sheetName val="G130015P3"/>
      <sheetName val="G140015P3"/>
      <sheetName val="G150015P3"/>
      <sheetName val="G160015P3"/>
      <sheetName val="G170015P3"/>
      <sheetName val="G180015P3"/>
      <sheetName val="G190015P3"/>
      <sheetName val="G200015P3"/>
      <sheetName val="G210015P3"/>
      <sheetName val="G220015P3"/>
      <sheetName val="G230015P3"/>
      <sheetName val="G240015P3"/>
      <sheetName val="G250015P3"/>
      <sheetName val="G260015P3"/>
      <sheetName val="G280015P3"/>
      <sheetName val="G290015P3"/>
      <sheetName val="G300015P3"/>
      <sheetName val="G310015P3"/>
      <sheetName val="G320015P3"/>
      <sheetName val="Current OB Tariff"/>
      <sheetName val="New OB Tariff"/>
      <sheetName val="Full Tariff OB Shipments"/>
      <sheetName val="Full Tariff IB Shipments"/>
      <sheetName val="Matrix"/>
      <sheetName val="Weight Break Charges"/>
      <sheetName val="SRInf"/>
      <sheetName val="SRSetup"/>
      <sheetName val="DOMRate"/>
      <sheetName val="IMPRate"/>
      <sheetName val="OBRate"/>
      <sheetName val="Zone"/>
      <sheetName val="S&amp;S Ref"/>
      <sheetName val="Zones for RSO"/>
      <sheetName val="datos"/>
      <sheetName val="notas"/>
      <sheetName val="國家2016"/>
      <sheetName val="國家20170601"/>
      <sheetName val="input sheet"/>
      <sheetName val="KE大韩"/>
      <sheetName val="捷买送通讯录"/>
      <sheetName val="捷买送价格目录"/>
      <sheetName val="澳大利亚专线"/>
      <sheetName val="德国专线"/>
      <sheetName val="英国专线"/>
      <sheetName val="顺丰专线"/>
      <sheetName val="香港Fedex-IE&amp;IP"/>
      <sheetName val="香港DHL-日本"/>
      <sheetName val="香港DHL-澳洲"/>
      <sheetName val="香港DHL-特惠"/>
      <sheetName val="香港DHL代理"/>
      <sheetName val="大陆DHL－促销C"/>
      <sheetName val="CNDHL-美加墨小货"/>
      <sheetName val="深圳DHL-法国"/>
      <sheetName val="深圳DHL-特惠价"/>
      <sheetName val="深圳DHL-澳洲"/>
      <sheetName val="深圳DHL-南非"/>
      <sheetName val="大陆DHL-智利"/>
      <sheetName val="USDHL-中南美走货流程及注意事项"/>
      <sheetName val="香港DHL代理分区表"/>
      <sheetName val="香港Fedex分区表"/>
      <sheetName val="澳大利亚专线注意事项"/>
      <sheetName val="专线下单导入模板"/>
      <sheetName val="国家二字码"/>
      <sheetName val="出口货物报关需提供资料"/>
      <sheetName val="大陆DHL-促销F价"/>
      <sheetName val="深圳DHL-代理重货价"/>
      <sheetName val="深圳DHL-代理重货分区"/>
      <sheetName val="Belgium BS &amp; CF"/>
      <sheetName val="Belgium KP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urrent Tariff"/>
      <sheetName val="Unit Costs"/>
      <sheetName val="Shipment costs"/>
      <sheetName val="Zones"/>
      <sheetName val="DEF Rate Table"/>
      <sheetName val="Competitors"/>
      <sheetName val="New Tariff"/>
      <sheetName val="OB Contracts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  <sheetName val="Current Costs"/>
      <sheetName val="Current Cost Card $"/>
      <sheetName val="Current Margin card %"/>
      <sheetName val="Graph"/>
      <sheetName val="New Costs"/>
      <sheetName val="New Cost Card $"/>
      <sheetName val="New Margin card % 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Summary"/>
      <sheetName val="Shipment Data"/>
      <sheetName val="Pivot"/>
      <sheetName val="Unit Rates"/>
      <sheetName val="Rate Lookup"/>
      <sheetName val="Rate Sheet"/>
      <sheetName val="#REF!"/>
      <sheetName val="59508-HKG公式计算"/>
      <sheetName val="Comparison-by weight"/>
      <sheetName val="TNT-DOX"/>
      <sheetName val="TNT-WPX"/>
      <sheetName val="DHL-DOX"/>
      <sheetName val="DHL-WPX"/>
      <sheetName val="Fedex-DOX"/>
      <sheetName val="Fedex-WPX"/>
      <sheetName val="Fedex-flatrating"/>
      <sheetName val="Zoning"/>
      <sheetName val="DHL_DOX"/>
      <sheetName val="DHL_WPX"/>
      <sheetName val="Module6"/>
      <sheetName val="Module7"/>
      <sheetName val="Module8"/>
      <sheetName val="control"/>
      <sheetName val="model_flow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DATA"/>
      <sheetName val="RERATE"/>
      <sheetName val="TARIFF"/>
      <sheetName val="LOOKUP"/>
      <sheetName val="Instructions"/>
      <sheetName val="Request"/>
      <sheetName val="Shipments - lb"/>
      <sheetName val="Shipments - kg"/>
      <sheetName val="Discounts - lb"/>
      <sheetName val="Discounts - kg"/>
      <sheetName val="Shipments - lb current"/>
      <sheetName val="Shipments - lb total"/>
      <sheetName val="Approved Discts-lb"/>
      <sheetName val="Shipments - kg current"/>
      <sheetName val="Shipments - kg total"/>
      <sheetName val="Approved Discts-kg"/>
      <sheetName val="Countries"/>
      <sheetName val="TempVariables"/>
      <sheetName val="Shipments - current"/>
      <sheetName val="VERSION_HISTORY"/>
      <sheetName val="Import-ExpressWW_STANDARD"/>
      <sheetName val="ExpressWW_STANDARD"/>
      <sheetName val="OB_Rates_Summary-F"/>
      <sheetName val="IB_Rates_Summary-F"/>
      <sheetName val="OB_Rates_Summary-C"/>
      <sheetName val="SetUpForm-C"/>
      <sheetName val="C-ExpressWW"/>
      <sheetName val="IB_Rates_Summary-C"/>
      <sheetName val="C-Import-ExpressWW"/>
      <sheetName val="C-3C-IEWW"/>
      <sheetName val="Country_Zone_EWW"/>
      <sheetName val="Country_Zone_IEWW"/>
      <sheetName val="COSTING_EXPORT_det"/>
      <sheetName val="IATAS"/>
      <sheetName val="Country_Zone_3CIMP"/>
      <sheetName val="Directions"/>
      <sheetName val="Validar"/>
      <sheetName val="unauthorized"/>
      <sheetName val="ZONES-3rdCntry"/>
      <sheetName val="SummarySuggestion-O"/>
      <sheetName val="BiasDiscountRequest-O"/>
      <sheetName val="BasicInfo"/>
      <sheetName val="BCP SetUpForm - Cust Auto Fill"/>
      <sheetName val="CustomerShptProf"/>
      <sheetName val="ShipmentProfile"/>
      <sheetName val="MiscLookup"/>
      <sheetName val="PricingKeys"/>
      <sheetName val="ApprovalSummary-C"/>
      <sheetName val="ApprovalSummary-Flt"/>
      <sheetName val="SetUpForm-Flt"/>
      <sheetName val="CustomDiscountRequest-I"/>
      <sheetName val="CustomDiscountRequest-O"/>
      <sheetName val="SummarySuggestion-I"/>
      <sheetName val="BiasDiscountRequest-I"/>
      <sheetName val="ServiceChargeGuidelines"/>
      <sheetName val="ServiceChargeREQUEST"/>
      <sheetName val="feedatatocopy"/>
      <sheetName val="SetUpForm-CNWB"/>
      <sheetName val="LOA_NetR"/>
      <sheetName val="SALES-Checklist"/>
      <sheetName val="ApprovalSummary-C-2"/>
      <sheetName val="rate-adders"/>
      <sheetName val="rateaddersX0900"/>
      <sheetName val="rateaddersX1030"/>
      <sheetName val="rateaddersX1200"/>
      <sheetName val="ob eod"/>
      <sheetName val="ob 9"/>
      <sheetName val="ob 1030"/>
      <sheetName val="ob 12"/>
      <sheetName val="ib eod"/>
      <sheetName val="ib 1030"/>
      <sheetName val="ib 12"/>
      <sheetName val="3c eod"/>
      <sheetName val="3c 9"/>
      <sheetName val="3c12"/>
      <sheetName val="StraightDiscOpt"/>
      <sheetName val="SetUpForm-S"/>
      <sheetName val="StraightGL"/>
      <sheetName val="LOA_f"/>
      <sheetName val="LOA_c"/>
      <sheetName val="ActivationAuth"/>
      <sheetName val="DHL-Zones"/>
      <sheetName val="OBGuidelines"/>
      <sheetName val="OB_BIAS"/>
      <sheetName val="IBGuidelines"/>
      <sheetName val="IB_BIAS"/>
      <sheetName val="ZONES-US-OBIB"/>
      <sheetName val="RegiReqTemplate"/>
      <sheetName val="GEO"/>
      <sheetName val="SetUpForm-C-2"/>
      <sheetName val="LOA_b2c"/>
      <sheetName val="CN-US_WBProg"/>
      <sheetName val="PACTShptProf"/>
      <sheetName val="IATA Code Listing"/>
      <sheetName val="LOA_NetR_Pcard"/>
      <sheetName val="LOA_f_Pcard"/>
      <sheetName val="LOA_c_PCard"/>
      <sheetName val="LOA_b2c_PCard"/>
      <sheetName val="LOA_NetR-CNWB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SGTRM98"/>
      <sheetName val="美国UPS双清包税（海运+UPS快递）"/>
      <sheetName val="美国UPS双清包税（空运+UPS快递）"/>
      <sheetName val="清单样板"/>
      <sheetName val="挂号 HKDGM-BQ 旧"/>
      <sheetName val="挂号 HKDGM-UDF新"/>
      <sheetName val="Express"/>
      <sheetName val="Expedited"/>
      <sheetName val="纵腾"/>
      <sheetName val="林竹"/>
      <sheetName val="鸿捷"/>
      <sheetName val="云途"/>
      <sheetName val="B2B"/>
      <sheetName val="中邮海外仓"/>
      <sheetName val="汇总表"/>
      <sheetName val="大陆DHL"/>
      <sheetName val="新加坡DHL"/>
      <sheetName val="香港DHL"/>
      <sheetName val="UPS"/>
      <sheetName val="中澳专线"/>
      <sheetName val="新西兰专线"/>
      <sheetName val="TNT"/>
      <sheetName val="欧洲专线"/>
      <sheetName val="中邮EMS-深圳"/>
      <sheetName val="中美专线"/>
      <sheetName val="系统明细美、澳、英、法"/>
      <sheetName val="未出账单"/>
      <sheetName val="乐讯"/>
      <sheetName val="Rates Mar"/>
      <sheetName val="Average"/>
      <sheetName val="SG OPR"/>
      <sheetName val="Current IMP"/>
      <sheetName val="TG-ON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UPS CN ZONE"/>
      <sheetName val="UPSHK ZONE"/>
      <sheetName val="DH&amp;FDXZONE"/>
      <sheetName val="TWZONE"/>
      <sheetName val="TNTZONE"/>
      <sheetName val="OESZONE1"/>
      <sheetName val="OESZONE2"/>
      <sheetName val="OESZONE"/>
      <sheetName val="COE国际专线-西欧分区表"/>
      <sheetName val="Zones"/>
      <sheetName val="Current Tariff"/>
      <sheetName val="Current Costs"/>
      <sheetName val="Current Cost Card $"/>
      <sheetName val="Current Margin card %"/>
      <sheetName val="Graph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Summary"/>
      <sheetName val="Shipment Data"/>
      <sheetName val="Pivot"/>
      <sheetName val="Unit Rates"/>
      <sheetName val="Rate Lookup"/>
      <sheetName val="Rate Sheet"/>
      <sheetName val="SGTRM98"/>
      <sheetName val="香港DHL-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  <sheetName val="Current Tariff"/>
      <sheetName val="Current Costs"/>
      <sheetName val="Current Cost Card $"/>
      <sheetName val="Current Margin card %"/>
      <sheetName val="Graph"/>
      <sheetName val="New Tariff"/>
      <sheetName val="New Costs"/>
      <sheetName val="New Cost Card $"/>
      <sheetName val="New Margin card %"/>
      <sheetName val="Competitors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HK_REVISED"/>
      <sheetName val="Country"/>
      <sheetName val="ME uninvoiced cons"/>
      <sheetName val="data"/>
      <sheetName val="UPS Cost"/>
      <sheetName val="UPS Cu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Min&amp;Inc"/>
      <sheetName val="TDD DOX"/>
      <sheetName val="TDD WPX"/>
      <sheetName val="Adder_base"/>
      <sheetName val="Ref"/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#REF!"/>
      <sheetName val="control"/>
      <sheetName val="model_flow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Summary"/>
      <sheetName val="Shipment Data"/>
      <sheetName val="Pivot"/>
      <sheetName val="Unit Rates"/>
      <sheetName val="Rate Lookup"/>
      <sheetName val="Rate Sheet"/>
      <sheetName val="DATA"/>
      <sheetName val="RERATE"/>
      <sheetName val="TARIFF"/>
      <sheetName val="LOOKUP"/>
      <sheetName val="Instructions"/>
      <sheetName val="Request"/>
      <sheetName val="Shipments - lb"/>
      <sheetName val="Shipments - kg"/>
      <sheetName val="Discounts - lb"/>
      <sheetName val="Discounts - kg"/>
      <sheetName val="Shipments - lb current"/>
      <sheetName val="Shipments - lb total"/>
      <sheetName val="Approved Discts-lb"/>
      <sheetName val="Shipments - kg current"/>
      <sheetName val="Shipments - kg total"/>
      <sheetName val="Approved Discts-kg"/>
      <sheetName val="Countries"/>
      <sheetName val="TempVariables"/>
      <sheetName val="Shipments - current"/>
      <sheetName val="Code"/>
      <sheetName val="Customer Distribution List"/>
      <sheetName val="SZ.UPS区域表(区域排序)"/>
      <sheetName val="SZ.UPS华南内部价（暂不公布）"/>
      <sheetName val="Pov"/>
      <sheetName val="Sheet4"/>
      <sheetName val="Printed material"/>
      <sheetName val="TG-ON LINE"/>
      <sheetName val="Sheet2"/>
      <sheetName val="Sheet3"/>
      <sheetName val="Unit Costs"/>
      <sheetName val="Shipment costs"/>
      <sheetName val="Jumbo"/>
      <sheetName val="Rainbow"/>
      <sheetName val="SGTRM98"/>
      <sheetName val="DHL-DOX"/>
      <sheetName val="DHL-WPX"/>
      <sheetName val="Zo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mparison-by weight"/>
      <sheetName val="TNT-DOX"/>
      <sheetName val="TNT-WPX"/>
      <sheetName val="DHL-DOX"/>
      <sheetName val="DHL-WPX"/>
      <sheetName val="Fedex-DOX"/>
      <sheetName val="Fedex-WPX"/>
      <sheetName val="Fedex-flatrating"/>
      <sheetName val="Zoning"/>
      <sheetName val="DHL_DOX"/>
      <sheetName val="DHL_WPX"/>
      <sheetName val="Competitors"/>
      <sheetName val="ME uninvoiced cons"/>
      <sheetName val="New card vs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urrent Tariff"/>
      <sheetName val="Unit Costs"/>
      <sheetName val="Shipment costs"/>
      <sheetName val="Zones"/>
      <sheetName val="Competitors"/>
      <sheetName val="New Tariff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  <sheetName val="0000000"/>
      <sheetName val="BLANK"/>
      <sheetName val="Conversion data"/>
      <sheetName val="doc"/>
      <sheetName val="nondoc"/>
      <sheetName val="WBs"/>
      <sheetName val="AU Cover Sheet"/>
      <sheetName val="VAS"/>
      <sheetName val="_OB_9.00"/>
      <sheetName val="_OB_12.00"/>
      <sheetName val="AU_OB_LCY"/>
      <sheetName val="AU_OB_Zone"/>
      <sheetName val="_IB_9.00"/>
      <sheetName val="_IB_12.00"/>
      <sheetName val="AU_IB_LCY"/>
      <sheetName val="AU_IB_Zone"/>
      <sheetName val="_DOM_9.00"/>
      <sheetName val="_DOM_12.00"/>
      <sheetName val="_DOM_LCY"/>
      <sheetName val="DOM_Zone"/>
      <sheetName val="_OB_ESI"/>
      <sheetName val="Export_ESI_Zone"/>
      <sheetName val="_IB_ESI"/>
      <sheetName val="Import_ESI_Zone"/>
      <sheetName val="_DOM_ESI"/>
      <sheetName val="Dom_ESI_Zone"/>
      <sheetName val="Terms and Conditions"/>
      <sheetName val="Min&amp;Inc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urrent OB Tariff"/>
      <sheetName val="Unit Costs"/>
      <sheetName val="Shipment costs"/>
      <sheetName val="Zones"/>
      <sheetName val="Competitors"/>
      <sheetName val="New OB Tariff"/>
      <sheetName val="Proposed IB Tariff"/>
      <sheetName val="Jumbo"/>
      <sheetName val="Revenue Impact Details"/>
      <sheetName val="New card vs old"/>
      <sheetName val="Full Tariff OB Shipments"/>
      <sheetName val="Full Tariff IB Shipments"/>
      <sheetName val="Matrix"/>
      <sheetName val="Inbound ISRs"/>
      <sheetName val="OB Zone List"/>
      <sheetName val="香港DHL-D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  <sheetName val="#REF!"/>
      <sheetName val="Instructions"/>
      <sheetName val="Input Sheet"/>
      <sheetName val="Output Sheet 1"/>
      <sheetName val="Output Sheet 2"/>
      <sheetName val="Output Sheet 3"/>
      <sheetName val="Data Retrieve Sheet"/>
      <sheetName val="Country"/>
      <sheetName val="ME uninvoiced c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aisie Breaks"/>
      <sheetName val="Breaks FF"/>
      <sheetName val="ECX"/>
      <sheetName val="DOX"/>
      <sheetName val="WPX"/>
      <sheetName val="Breaks Euros"/>
      <sheetName val="ECX EUROS"/>
      <sheetName val="DOX EUROS"/>
      <sheetName val="WPX EUROS"/>
      <sheetName val="Module1"/>
      <sheetName val="4.01.1"/>
      <sheetName val="Tarieven"/>
      <sheetName val="REFERENTIE"/>
      <sheetName val="Competitor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Summary"/>
      <sheetName val="Shipment Data"/>
      <sheetName val="Pivot"/>
      <sheetName val="Unit Rates"/>
      <sheetName val="Rate Lookup"/>
      <sheetName val="Rate Sheet"/>
      <sheetName val="DATA"/>
      <sheetName val="RERATE"/>
      <sheetName val="TARIFF"/>
      <sheetName val="LOOKUP"/>
      <sheetName val="Instructions"/>
      <sheetName val="Request"/>
      <sheetName val="Shipments - lb"/>
      <sheetName val="Shipments - kg"/>
      <sheetName val="Discounts - lb"/>
      <sheetName val="Discounts - kg"/>
      <sheetName val="Shipments - lb current"/>
      <sheetName val="Shipments - lb total"/>
      <sheetName val="Approved Discts-lb"/>
      <sheetName val="Shipments - kg current"/>
      <sheetName val="Shipments - kg total"/>
      <sheetName val="Approved Discts-kg"/>
      <sheetName val="Countries"/>
      <sheetName val="TempVariables"/>
      <sheetName val="Shipments - current"/>
      <sheetName val="Main"/>
      <sheetName val="Current Tariff"/>
      <sheetName val="Unit Costs"/>
      <sheetName val="Shipment costs"/>
      <sheetName val="DEF Rate Table"/>
      <sheetName val="Competitors"/>
      <sheetName val="New Tariff"/>
      <sheetName val="OB Contracts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2004 Rate Lookup"/>
      <sheetName val="2005 Rate Lookup"/>
      <sheetName val="Summary Import"/>
      <sheetName val="Shipment data import"/>
      <sheetName val="TRM Menus"/>
      <sheetName val="MultConvert"/>
      <sheetName val="ReadyRate"/>
      <sheetName val="Sheet2"/>
      <sheetName val="Rates1015"/>
      <sheetName val="HWAdders_DOX"/>
      <sheetName val="HWAdders_WPX"/>
      <sheetName val="Discount Sum"/>
      <sheetName val="Contract Rates"/>
      <sheetName val="Contract Rates Schedule"/>
      <sheetName val="Discount"/>
      <sheetName val="#REF!"/>
      <sheetName val="Current IMP"/>
      <sheetName val="Current Costs"/>
      <sheetName val="Current Cost Card"/>
      <sheetName val="Current Margin "/>
      <sheetName val="ISR"/>
      <sheetName val="Zone"/>
      <sheetName val="New IMP"/>
      <sheetName val="New Costs"/>
      <sheetName val="New Cost Card"/>
      <sheetName val="New IMP Margin"/>
      <sheetName val="目录"/>
      <sheetName val="EBIT"/>
      <sheetName val="Front-sheet"/>
      <sheetName val="Table of Contents"/>
      <sheetName val="Business Growth"/>
      <sheetName val="9-Columns"/>
      <sheetName val="EMN DPS"/>
      <sheetName val="EMN Comments 1"/>
      <sheetName val="EMN P&amp;L"/>
      <sheetName val="EMN KPI's"/>
      <sheetName val="Belgium DPS"/>
      <sheetName val="B Comments 1"/>
      <sheetName val="Belgium P&amp;L"/>
      <sheetName val="B Comments 2"/>
      <sheetName val="Belgium KPI"/>
      <sheetName val="Belgium BS &amp; CF"/>
      <sheetName val="I DPS"/>
      <sheetName val="I Comments 1"/>
      <sheetName val="I P&amp;L"/>
      <sheetName val="I Comments 2"/>
      <sheetName val="I KPI"/>
      <sheetName val="I BS &amp; CF"/>
      <sheetName val="NL DPS"/>
      <sheetName val="NL Comments 1"/>
      <sheetName val="NL P&amp;L"/>
      <sheetName val="NL Comments 2"/>
      <sheetName val="NL KPI"/>
      <sheetName val="NL BS &amp; CF"/>
      <sheetName val="UK DPS"/>
      <sheetName val="UK Comments 1"/>
      <sheetName val="UK P&amp;L"/>
      <sheetName val="UK Comments 2"/>
      <sheetName val="UK KPI"/>
      <sheetName val="UK BS &amp; CF"/>
      <sheetName val="Germany DPS"/>
      <sheetName val="Germany P&amp;L"/>
      <sheetName val="Networks DPS"/>
      <sheetName val="Networks Comments 1"/>
      <sheetName val="Networks P&amp;L"/>
      <sheetName val="Networks Comments 2"/>
      <sheetName val="Networks KPI"/>
      <sheetName val="Networks BS &amp; CF"/>
      <sheetName val="EP DPS"/>
      <sheetName val="EP Comments 1"/>
      <sheetName val="EP P&amp;L"/>
      <sheetName val="EP Comments 2"/>
      <sheetName val="EP KPI"/>
      <sheetName val="EP BS &amp; CF"/>
      <sheetName val="A DPS"/>
      <sheetName val="A Comments 1"/>
      <sheetName val="A P&amp;L"/>
      <sheetName val="A Comments 2"/>
      <sheetName val="A KPI"/>
      <sheetName val="A BS &amp; CF"/>
      <sheetName val="CEE DPS"/>
      <sheetName val="CEE Comments 1"/>
      <sheetName val="CEE P&amp;L"/>
      <sheetName val="CEE Comments 2"/>
      <sheetName val="CEE KPI"/>
      <sheetName val="CEE BS &amp; CF"/>
      <sheetName val="THO DPS"/>
      <sheetName val="THO Comments 1"/>
      <sheetName val="THO P&amp;L"/>
      <sheetName val="Acquisitions"/>
      <sheetName val="Definitions"/>
      <sheetName val="THO BS &amp; CF"/>
      <sheetName val="Germany BS &amp; CF"/>
      <sheetName val="Germany KPI"/>
      <sheetName val="THO KPI"/>
      <sheetName val="EMN KPI"/>
      <sheetName val="EMN BS &amp; CF"/>
      <sheetName val="UK Addressed DPS"/>
      <sheetName val="UK Addressed P&amp;L"/>
      <sheetName val="UK Addressed KPI"/>
      <sheetName val="UK Addressed BS &amp; 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G-ON LINE"/>
      <sheetName val="TG-OFF LINE"/>
      <sheetName val="港口中英对照"/>
      <sheetName val="Start"/>
      <sheetName val="#REF!"/>
      <sheetName val="Zones"/>
      <sheetName val="Code"/>
      <sheetName val="MENU"/>
      <sheetName val="Minput"/>
      <sheetName val="Weekly"/>
      <sheetName val="BudMF"/>
      <sheetName val="list"/>
      <sheetName val="Setup"/>
      <sheetName val="Sheet4"/>
      <sheetName val="ME uninvoiced cons"/>
      <sheetName val="Competitors"/>
      <sheetName val="DHL-DO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  <sheetName val="单票7.13"/>
      <sheetName val="单票8.25-26"/>
      <sheetName val="物流产品"/>
      <sheetName val="Tarieven"/>
      <sheetName val="REFERENTIE"/>
      <sheetName val="Min&amp;I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  <sheetName val="Main"/>
      <sheetName val="DEF Rate Table"/>
      <sheetName val="OB Contracts"/>
      <sheetName val="Full Tariff Shipments"/>
      <sheetName val="Revenue Impact Details"/>
      <sheetName val="Proposed IB Tariff"/>
      <sheetName val="Inbound ISRs"/>
      <sheetName val="OB Zone List"/>
      <sheetName val="RCpr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XXXXX"/>
      <sheetName val="Checklist data"/>
      <sheetName val="Forecaste"/>
      <sheetName val="Comparatif"/>
      <sheetName val="MENU"/>
      <sheetName val="Int Mailfast"/>
      <sheetName val="Int Tanat"/>
      <sheetName val="InternSero"/>
      <sheetName val="Intern MTH"/>
      <sheetName val="WeeklyMail"/>
      <sheetName val="WeeklyTanat"/>
      <sheetName val="Weekly"/>
      <sheetName val="Week1"/>
      <sheetName val="Week2"/>
      <sheetName val="Week3"/>
      <sheetName val="Week4"/>
      <sheetName val="Week5"/>
      <sheetName val="BudMF"/>
      <sheetName val="Budtanat"/>
      <sheetName val="Feuil1"/>
      <sheetName val="MISDIV"/>
      <sheetName val="ImpBal"/>
      <sheetName val="BudEms"/>
      <sheetName val="BudIntExp"/>
      <sheetName val="Admistat"/>
      <sheetName val="Head count"/>
      <sheetName val="Lookup"/>
      <sheetName val="Minput"/>
      <sheetName val="Securite"/>
      <sheetName val="New card vs old"/>
      <sheetName val="DHL-DOX"/>
      <sheetName val="Competi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TG-ON LINE"/>
      <sheetName val="TG20040905代理报价"/>
      <sheetName val="MH20041001代理报价"/>
      <sheetName val="马航拖车价格"/>
      <sheetName val="LH报价"/>
      <sheetName val="Sheet1"/>
      <sheetName val="Sheet2"/>
      <sheetName val="Sheet3"/>
      <sheetName val="Customer Code"/>
      <sheetName val="Marketing Code"/>
      <sheetName val="ecx WB"/>
      <sheetName val="adjusted tdd12 rates "/>
      <sheetName val="adjusted tdd9 rates"/>
      <sheetName val="skp"/>
      <sheetName val="tdd12 rates"/>
      <sheetName val="tdd9 rates"/>
      <sheetName val="Competitors"/>
      <sheetName val=" prelimanery BS"/>
      <sheetName val="Capital expenditures"/>
      <sheetName val="balance sheet"/>
      <sheetName val="Mail Division"/>
      <sheetName val="Income Statement"/>
      <sheetName val="Goodwill, non-rec."/>
      <sheetName val="Rev in %"/>
      <sheetName val="XL4Poppy"/>
      <sheetName val="Zones"/>
      <sheetName val="Tarieven"/>
      <sheetName val="REFERENT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Summary"/>
      <sheetName val="Shipment Data"/>
      <sheetName val="Pivot"/>
      <sheetName val="Unit Rates"/>
      <sheetName val="Rate Lookup"/>
      <sheetName val="Rate Sheet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2004 Rate Lookup"/>
      <sheetName val="2005 Rate Lookup"/>
      <sheetName val="Summary Import"/>
      <sheetName val="Shipment data import"/>
      <sheetName val="#REF!"/>
      <sheetName val="SPI Re-launch"/>
      <sheetName val="Main"/>
      <sheetName val="Current OB Tariff"/>
      <sheetName val="Unit Costs"/>
      <sheetName val="Shipment costs"/>
      <sheetName val="Competitors"/>
      <sheetName val="New OB Tariff"/>
      <sheetName val="Proposed IB Tariff"/>
      <sheetName val="Jumbo"/>
      <sheetName val="Revenue Impact Details"/>
      <sheetName val="New card vs old"/>
      <sheetName val="Full Tariff OB Shipments"/>
      <sheetName val="Full Tariff IB Shipments"/>
      <sheetName val="Matrix"/>
      <sheetName val="Inbound ISRs"/>
      <sheetName val="OB Zone List"/>
      <sheetName val="to US Rate"/>
      <sheetName val="FEA to EU Rate"/>
      <sheetName val="FEA to ROE Rate"/>
      <sheetName val="Cost"/>
      <sheetName val="Act"/>
      <sheetName val="Scenario"/>
      <sheetName val="Request"/>
      <sheetName val="Shipments - kg current"/>
      <sheetName val="Shipments - lb current"/>
      <sheetName val="Approved Discts-lb"/>
      <sheetName val="TempVariables"/>
      <sheetName val="Shipments - current"/>
      <sheetName val="Shipments - kg"/>
      <sheetName val="Discounts - kg"/>
      <sheetName val="Shipments - lb"/>
      <sheetName val="Discounts - lb"/>
      <sheetName val="Count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8"/>
      <sheetName val="Sheet3"/>
      <sheetName val="POV"/>
      <sheetName val="1.1"/>
      <sheetName val="1.3"/>
      <sheetName val="1.4"/>
      <sheetName val="1.5"/>
      <sheetName val="1.7"/>
      <sheetName val="1.8"/>
      <sheetName val="1.9"/>
      <sheetName val="2.0"/>
      <sheetName val="2.1"/>
      <sheetName val="Sheet5"/>
      <sheetName val="BSheet_by BU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#REF!"/>
      <sheetName val="MY"/>
      <sheetName val="ID"/>
      <sheetName val="NZ"/>
      <sheetName val="TH"/>
      <sheetName val="CN"/>
      <sheetName val="CN Zone"/>
      <sheetName val="AU"/>
      <sheetName val="AU Zone"/>
      <sheetName val="Minput"/>
      <sheetName val="Weekly"/>
      <sheetName val="MENU"/>
      <sheetName val="BudMF"/>
      <sheetName val="Request"/>
      <sheetName val="New card vs 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燃油费率"/>
      <sheetName val="重要通知！"/>
      <sheetName val="香港小包"/>
      <sheetName val="新加坡小包"/>
      <sheetName val="中国邮政小包"/>
      <sheetName val="DHL标准"/>
      <sheetName val="DHL-分區表"/>
      <sheetName val="DHL特惠"/>
      <sheetName val="UPS-報價"/>
      <sheetName val="UPS-公布價"/>
      <sheetName val="UPS-分區表"/>
      <sheetName val="新加坡EMS折扣"/>
      <sheetName val="新加坡EMS分区"/>
      <sheetName val="HKTNT代理"/>
      <sheetName val="TNT产品分区表"/>
      <sheetName val="HK TNT"/>
      <sheetName val="4PX专线"/>
      <sheetName val="专线速查"/>
      <sheetName val="境外取件"/>
      <sheetName val="4PX到付"/>
      <sheetName val="联邮通"/>
      <sheetName val="中国EMS"/>
      <sheetName val="香港EMS有折扣区"/>
      <sheetName val="香港EMS无折扣区"/>
      <sheetName val="香港EMS公布价"/>
      <sheetName val="中东专线"/>
      <sheetName val="FEDEX特惠"/>
      <sheetName val="FEDEX-IP"/>
      <sheetName val="货物交接单"/>
      <sheetName val="4PX财务账号"/>
      <sheetName val="Parameter"/>
      <sheetName val="RANGELOOKUP"/>
      <sheetName val="XL4Poppy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#REF!"/>
      <sheetName val="价格目录"/>
      <sheetName val="HKG"/>
      <sheetName val="DHL&amp;DUS"/>
      <sheetName val="DHPA"/>
      <sheetName val="DTPA"/>
      <sheetName val="DCPC"/>
      <sheetName val="DCPB"/>
      <sheetName val="UPSCN预付"/>
      <sheetName val="UCT"/>
      <sheetName val="UCS"/>
      <sheetName val="UPSHK预付"/>
      <sheetName val="UHT"/>
      <sheetName val="UHS"/>
      <sheetName val="UPSU"/>
      <sheetName val="FDX"/>
      <sheetName val="FDE"/>
      <sheetName val="FPF&amp;FEF"/>
      <sheetName val="TNT"/>
      <sheetName val="TNE"/>
      <sheetName val="AMXC"/>
      <sheetName val="AMXH"/>
      <sheetName val="CTWC"/>
      <sheetName val="CTWC ZONE"/>
      <sheetName val="COE_PP&amp;CC"/>
      <sheetName val="DHL ZONE"/>
      <sheetName val="DCPC ZONE"/>
      <sheetName val="DCPB ZONE"/>
      <sheetName val="UPSHK ZONE"/>
      <sheetName val="UPSCN ZONE"/>
      <sheetName val="FDX&amp;FDE ZONE"/>
      <sheetName val="TNT ZONE"/>
      <sheetName val="Portfolio Discount"/>
      <sheetName val="Cover"/>
      <sheetName val="Zone Discount"/>
      <sheetName val="Express Export Net Rates"/>
      <sheetName val="Economy Export Net Rates"/>
      <sheetName val="Express Import Net Rates"/>
      <sheetName val="Economy Import Net Rates"/>
      <sheetName val="destinations and services"/>
      <sheetName val="Canada 1- Zipcodes"/>
      <sheetName val="Express Export Gross Rates"/>
      <sheetName val="Economy Export Gross Rates"/>
      <sheetName val="Express Import Gross Rates"/>
      <sheetName val="Economy Import Gross Rates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DATA"/>
      <sheetName val="RERATE"/>
      <sheetName val="TARIFF"/>
      <sheetName val="LOOKUP"/>
      <sheetName val="Instructions"/>
      <sheetName val="Request"/>
      <sheetName val="Shipments - lb"/>
      <sheetName val="Shipments - kg"/>
      <sheetName val="Discounts - lb"/>
      <sheetName val="Discounts - kg"/>
      <sheetName val="Shipments - lb current"/>
      <sheetName val="Shipments - lb total"/>
      <sheetName val="Approved Discts-lb"/>
      <sheetName val="Shipments - kg current"/>
      <sheetName val="Shipments - kg total"/>
      <sheetName val="Approved Discts-kg"/>
      <sheetName val="Countries"/>
      <sheetName val="TempVariables"/>
      <sheetName val="Shipments - current"/>
      <sheetName val="Rate Lookup"/>
      <sheetName val="Rate Sheet"/>
      <sheetName val="挂号 HKDGM-BQ 旧"/>
      <sheetName val="挂号 HKDGM-UDF新"/>
      <sheetName val="Express"/>
      <sheetName val="Expedited"/>
      <sheetName val="Discounts"/>
      <sheetName val="Current Tariff"/>
      <sheetName val="Current Costs"/>
      <sheetName val="Current Cost Card $"/>
      <sheetName val="Current Margin card %"/>
      <sheetName val="Graph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2"/>
      <sheetName val="Sheet3"/>
      <sheetName val="Unit Costs"/>
      <sheetName val="Shipment costs"/>
      <sheetName val="Jumbo"/>
      <sheetName val="Rainbow"/>
      <sheetName val="ShptProfile"/>
      <sheetName val="lists"/>
      <sheetName val="ComprableWorkTbl"/>
      <sheetName val="ZoneWorkTbl"/>
      <sheetName val="ZoneDisti"/>
      <sheetName val="DHLRate"/>
      <sheetName val="FedExRate"/>
      <sheetName val="UPSRate"/>
      <sheetName val="BOOK"/>
      <sheetName val="DiscountedRates"/>
      <sheetName val="Main"/>
      <sheetName val="DEF Rate Table"/>
      <sheetName val="OB Contracts"/>
      <sheetName val="Full Tariff Shipments"/>
      <sheetName val="Revenue Impact Details"/>
      <sheetName val="Proposed IB Tariff"/>
      <sheetName val="Inbound ISRs"/>
      <sheetName val="OB Zone List"/>
      <sheetName val="Rates Mar"/>
      <sheetName val="Average"/>
      <sheetName val="UPS CN ZONE"/>
      <sheetName val="DH&amp;FDXZONE"/>
      <sheetName val="TWZONE"/>
      <sheetName val="TNTZONE"/>
      <sheetName val="OESZONE1"/>
      <sheetName val="OESZONE2"/>
      <sheetName val="OESZONE"/>
      <sheetName val="COE国际专线-西欧分区表"/>
      <sheetName val="Module6"/>
      <sheetName val="Module7"/>
      <sheetName val="Module8"/>
      <sheetName val="Express Export Ratesheet"/>
      <sheetName val="Economy Export Ratesheet"/>
      <sheetName val="Express Import Ratesheet"/>
      <sheetName val="Economy Import Ratesheet"/>
      <sheetName val="Tool"/>
      <sheetName val="-&gt; EDV manuell"/>
      <sheetName val="-&gt; EDV zfdopkp1"/>
      <sheetName val="-&gt; EDV Umsatz"/>
      <sheetName val="-&gt; EDV Umsätze (Depot)"/>
      <sheetName val="-&gt; EDV RR"/>
      <sheetName val="RUNWAY"/>
      <sheetName val="-&gt; EDV Factora"/>
      <sheetName val="Titel"/>
      <sheetName val="Titel (Inhaltsverzeichnis)"/>
      <sheetName val="ME Zusammenfassung"/>
      <sheetName val="ME uninvoiced cons"/>
      <sheetName val="ME Umsätze"/>
      <sheetName val="ME Offene Posten"/>
      <sheetName val="ME Reklamationen"/>
      <sheetName val="ME Factora"/>
      <sheetName val="-&gt; EDV Budget"/>
      <sheetName val="F9"/>
      <sheetName val="F10"/>
      <sheetName val="F10x"/>
      <sheetName val="Wochen"/>
      <sheetName val="Monate"/>
      <sheetName val="RUNWAY DATA WAREHOUSE"/>
      <sheetName val="Input"/>
      <sheetName val="EpCalc"/>
      <sheetName val="List"/>
      <sheetName val="Extract"/>
      <sheetName val="Dialog1"/>
      <sheetName val="Dialog2"/>
      <sheetName val="opens"/>
      <sheetName val="Entity"/>
      <sheetName val="Extract_Macro"/>
      <sheetName val="Hide"/>
      <sheetName val="TRM MODEL"/>
      <sheetName val="F2"/>
      <sheetName val="渠道操作要求"/>
      <sheetName val="D小货促销"/>
      <sheetName val="MYDHL"/>
      <sheetName val="SZD欧洲促销价"/>
      <sheetName val="SZD南美特惠"/>
      <sheetName val="HKD-E价 "/>
      <sheetName val="香港DHL-E分区"/>
      <sheetName val="香港DHL代理分区"/>
      <sheetName val="HKD代理"/>
      <sheetName val="HKD澳新"/>
      <sheetName val="HKD特惠"/>
      <sheetName val="HKD优惠"/>
      <sheetName val="CN联邦IE-A价"/>
      <sheetName val="CN联邦IP-A价"/>
      <sheetName val="SZ联邦IE-D价"/>
      <sheetName val="SZ联邦IP-C价"/>
      <sheetName val="HKF-IE代理 "/>
      <sheetName val="HK联邦IE价"/>
      <sheetName val="香港联邦-IE代理分区"/>
      <sheetName val="香港联邦-IP代理分区"/>
      <sheetName val="HKF-IP代理"/>
      <sheetName val="CNT-F价"/>
      <sheetName val="CNT东欧48N15N"/>
      <sheetName val="CNT干电池"/>
      <sheetName val="TNT代理大货价"/>
      <sheetName val="CNT经济"/>
      <sheetName val="CNT经济泡货"/>
      <sheetName val="CNT欧洲48F"/>
      <sheetName val="CNT全球"/>
      <sheetName val="SZT经济"/>
      <sheetName val="SZT全球"/>
      <sheetName val="CNT中东48F"/>
      <sheetName val="HKT特惠"/>
      <sheetName val="HKT欧洲48F"/>
      <sheetName val="香港UPS分区表 "/>
      <sheetName val="香港UPS公布价 "/>
      <sheetName val="CNU-FBA专线"/>
      <sheetName val="CNU美加促销"/>
      <sheetName val="CNU促销FBA"/>
      <sheetName val="CNU红蓝单5K"/>
      <sheetName val="CNU红蓝单6K"/>
      <sheetName val="HKU红单6K "/>
      <sheetName val="HKU红单特惠 "/>
      <sheetName val="HKU蓝单特惠"/>
      <sheetName val="HKU蓝单B"/>
      <sheetName val="美国UPS空加派"/>
      <sheetName val="日本专线"/>
      <sheetName val="HKU促销SCS"/>
      <sheetName val="FBA海运"/>
      <sheetName val="FBA空运"/>
      <sheetName val="香港中东代理"/>
      <sheetName val="SCS发票"/>
      <sheetName val="SCS装箱单"/>
      <sheetName val="TG-ON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04_09 Sum tot"/>
      <sheetName val="ENV BU"/>
      <sheetName val="TEST"/>
      <sheetName val="IE"/>
      <sheetName val="BASE GRAPHE"/>
      <sheetName val="Competitors"/>
      <sheetName val="香港DHL-D"/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  <sheetName val="#REF!"/>
      <sheetName val="报价主页"/>
      <sheetName val="通讯录"/>
      <sheetName val="温馨提示"/>
      <sheetName val="香港DHL代理价"/>
      <sheetName val="香港DHL代理分区表"/>
      <sheetName val="香港DHL澳洲特惠价"/>
      <sheetName val="香港DHL-B价"/>
      <sheetName val="香港DHL-B价分区表"/>
      <sheetName val="香港DHL-C价"/>
      <sheetName val="DHL美加特惠价"/>
      <sheetName val="香港DHL-H价"/>
      <sheetName val="香港DHL-H价分区表"/>
      <sheetName val="香港DHL-K价"/>
      <sheetName val="香港DHL-K价分区表"/>
      <sheetName val="大陆DHL特惠价"/>
      <sheetName val="大陆DHL特惠分区表"/>
      <sheetName val="香港UPS速快 代理价"/>
      <sheetName val="香港UPS速快B价"/>
      <sheetName val="香港UPS美国特惠价"/>
      <sheetName val="香港UPS速快公布价"/>
      <sheetName val="香港UPS红单分区表"/>
      <sheetName val="FEDEX（IP）特快报价"/>
      <sheetName val="香港FEDEX特快报价（IP）分区表"/>
      <sheetName val="香港FEDEX西欧（IP)和（IE)报价"/>
      <sheetName val="香港FEDEX（IE）经济报价"/>
      <sheetName val="香港FEDEX经济报价（IE）分区表"/>
      <sheetName val="Sheet2"/>
      <sheetName val="Main"/>
      <sheetName val="Unit Costs"/>
      <sheetName val="Shipment costs"/>
      <sheetName val="Discount"/>
      <sheetName val="Rainbow"/>
      <sheetName val="Revenue Impact Details"/>
      <sheetName val="Jumbo"/>
      <sheetName val="Proposed IB Tariff"/>
      <sheetName val="Full Tariff Shipments"/>
      <sheetName val="Inbound ISRs"/>
      <sheetName val="OB Zone List"/>
      <sheetName val="Goodwill, non-rec."/>
      <sheetName val="Tarieven"/>
      <sheetName val="REFERENT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Clarity"/>
      <sheetName val="Expl. Clarity"/>
      <sheetName val="Corp.Sustain."/>
      <sheetName val="Competitors"/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  <sheetName val="HKG"/>
      <sheetName val="Discounts"/>
      <sheetName val="Main"/>
      <sheetName val="Unit Costs"/>
      <sheetName val="Shipment costs"/>
      <sheetName val="Discount"/>
      <sheetName val="Rainbow"/>
      <sheetName val="Revenue Impact Details"/>
      <sheetName val="Jumbo"/>
      <sheetName val="Proposed IB Tariff"/>
      <sheetName val="Full Tariff Shipments"/>
      <sheetName val="Inbound ISRs"/>
      <sheetName val="OB Zone List"/>
      <sheetName val="Setup"/>
      <sheetName val="EXP EUR DI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 prelimanery BS"/>
      <sheetName val="Capital expenditures"/>
      <sheetName val="balance sheet"/>
      <sheetName val="Mail Division"/>
      <sheetName val="Income Statement"/>
      <sheetName val="Goodwill, non-rec."/>
      <sheetName val="Rev in %"/>
      <sheetName val="Q1-2000vsQ1-1999"/>
      <sheetName val="Quality graphs mail"/>
      <sheetName val="Express Division"/>
      <sheetName val="Logistics Division"/>
      <sheetName val="Operating expenses"/>
      <sheetName val="withdrawals"/>
      <sheetName val="cash flow statement"/>
      <sheetName val="Ratios"/>
      <sheetName val="Employees"/>
      <sheetName val="Dilution"/>
      <sheetName val="#REF!"/>
      <sheetName val="Clarity"/>
      <sheetName val="Expl. Clarity"/>
      <sheetName val="Corp.Sustain."/>
      <sheetName val="HKG"/>
      <sheetName val="zones_input"/>
      <sheetName val="control"/>
      <sheetName val="rates_input"/>
      <sheetName val="DATA"/>
      <sheetName val="RERATE"/>
      <sheetName val="ZONES"/>
      <sheetName val="RATES"/>
      <sheetName val="TARIFF"/>
      <sheetName val="LOOKUP"/>
      <sheetName val="Instructions"/>
      <sheetName val="Request"/>
      <sheetName val="Shipments - lb"/>
      <sheetName val="Shipments - kg"/>
      <sheetName val="Discounts - lb"/>
      <sheetName val="Discounts - kg"/>
      <sheetName val="Shipments - lb current"/>
      <sheetName val="Shipments - lb total"/>
      <sheetName val="Approved Discts-lb"/>
      <sheetName val="Shipments - kg current"/>
      <sheetName val="Shipments - kg total"/>
      <sheetName val="Approved Discts-kg"/>
      <sheetName val="Countries"/>
      <sheetName val="TempVariables"/>
      <sheetName val="Shipments - current"/>
      <sheetName val="Summary"/>
      <sheetName val="Shipment Data"/>
      <sheetName val="Pivot"/>
      <sheetName val="Unit Rates"/>
      <sheetName val="Rate Lookup"/>
      <sheetName val="Rate Sheet"/>
      <sheetName val="挂号 HKDGM-BQ 旧"/>
      <sheetName val="挂号 HKDGM-UDF新"/>
      <sheetName val="Express"/>
      <sheetName val="Expedited"/>
      <sheetName val="Rates Mar"/>
      <sheetName val="Average"/>
      <sheetName val="New card vs old"/>
      <sheetName val="Minput"/>
      <sheetName val="Weekly"/>
      <sheetName val="MENU"/>
      <sheetName val="BudM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Competitors"/>
      <sheetName val="Discounts"/>
      <sheetName val="TG-ON LINE"/>
      <sheetName val="渠道操作要求"/>
      <sheetName val="D小货促销"/>
      <sheetName val="MYDHL"/>
      <sheetName val="SZD欧洲促销价"/>
      <sheetName val="SZD南美特惠"/>
      <sheetName val="HKD-E价 "/>
      <sheetName val="香港DHL-E分区"/>
      <sheetName val="香港DHL代理分区"/>
      <sheetName val="HKD代理"/>
      <sheetName val="HKD澳新"/>
      <sheetName val="HKD特惠"/>
      <sheetName val="HKD优惠"/>
      <sheetName val="CN联邦IE-A价"/>
      <sheetName val="CN联邦IP-A价"/>
      <sheetName val="SZ联邦IE-D价"/>
      <sheetName val="SZ联邦IP-C价"/>
      <sheetName val="HKF-IE代理 "/>
      <sheetName val="HK联邦IE价"/>
      <sheetName val="香港联邦-IE代理分区"/>
      <sheetName val="香港联邦-IP代理分区"/>
      <sheetName val="HKF-IP代理"/>
      <sheetName val="目录"/>
      <sheetName val="CNT-F价"/>
      <sheetName val="CNT东欧48N15N"/>
      <sheetName val="CNT干电池"/>
      <sheetName val="TNT代理大货价"/>
      <sheetName val="CNT经济"/>
      <sheetName val="CNT经济泡货"/>
      <sheetName val="CNT欧洲48F"/>
      <sheetName val="CNT全球"/>
      <sheetName val="SZT经济"/>
      <sheetName val="SZT全球"/>
      <sheetName val="CNT中东48F"/>
      <sheetName val="HKT特惠"/>
      <sheetName val="HKT欧洲48F"/>
      <sheetName val="香港UPS分区表 "/>
      <sheetName val="香港UPS公布价 "/>
      <sheetName val="CNU-FBA专线"/>
      <sheetName val="CNU美加促销"/>
      <sheetName val="CNU促销FBA"/>
      <sheetName val="CNU红蓝单5K"/>
      <sheetName val="CNU红蓝单6K"/>
      <sheetName val="HKU红单6K "/>
      <sheetName val="HKU红单特惠 "/>
      <sheetName val="HKU蓝单特惠"/>
      <sheetName val="HKU蓝单B"/>
      <sheetName val="美国UPS空加派"/>
      <sheetName val="日本专线"/>
      <sheetName val="HKU促销SCS"/>
      <sheetName val="FBA海运"/>
      <sheetName val="FBA空运"/>
      <sheetName val="香港中东代理"/>
      <sheetName val="SCS发票"/>
      <sheetName val="SCS装箱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Rates E UPS"/>
      <sheetName val="Zones E UPS"/>
      <sheetName val="Rates I UPS"/>
      <sheetName val="Zones I UPS"/>
      <sheetName val="Rates E DHL"/>
      <sheetName val="Zones E &amp; I DHL"/>
      <sheetName val="DHL Rates (ctry input)"/>
      <sheetName val="DHL Zone (ctry input)"/>
      <sheetName val="Rates I DHL"/>
      <sheetName val="Rates FDX"/>
      <sheetName val="Zones FDX"/>
      <sheetName val="2006 Tariff (ctry input)"/>
      <sheetName val="2006 Zone (ctry input)"/>
      <sheetName val="ZONES (ctry input)"/>
      <sheetName val="Competition (ctry input)"/>
      <sheetName val="Rates E TNT"/>
      <sheetName val="Zones E TNT"/>
      <sheetName val="#REF!"/>
      <sheetName val="zones_input"/>
      <sheetName val="control"/>
      <sheetName val="rates_input"/>
      <sheetName val="copy of compnetrates"/>
      <sheetName val="TG-ON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HR"/>
      <sheetName val=" prelimanery BS"/>
      <sheetName val="Capital expenditures"/>
      <sheetName val="balance sheet"/>
      <sheetName val="Mail Division"/>
      <sheetName val="Income Statement"/>
      <sheetName val="Goodwill, non-rec."/>
      <sheetName val="Rev in %"/>
      <sheetName val="Q1-2000vsQ1-1999"/>
      <sheetName val="Quality graphs mail"/>
      <sheetName val="Express Division"/>
      <sheetName val="Logistics Division"/>
      <sheetName val="Operating expenses"/>
      <sheetName val="withdrawals"/>
      <sheetName val="cash flow statement"/>
      <sheetName val="Ratios"/>
      <sheetName val="Employees"/>
      <sheetName val="Dilution"/>
      <sheetName val="Sheet2"/>
      <sheetName val="Competitors"/>
      <sheetName val="Page 1"/>
      <sheetName val="Page 2"/>
      <sheetName val="原分区"/>
      <sheetName val="分区"/>
      <sheetName val="价格RMB8.17"/>
      <sheetName val="价格RMB对比 0218"/>
      <sheetName val="价格HKD 2.8折"/>
      <sheetName val="中技"/>
      <sheetName val="百千 香港DHL代理 RMB 0201"/>
      <sheetName val="DHL代理分区"/>
      <sheetName val="分区2016"/>
      <sheetName val="Original_CeilingRate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ef"/>
      <sheetName val="#REF!"/>
      <sheetName val="Bud_FinalvPrelim"/>
      <sheetName val="#REF"/>
      <sheetName val="HKG"/>
      <sheetName val="DATA"/>
      <sheetName val="RERATE"/>
      <sheetName val="ZONES"/>
      <sheetName val="RATES"/>
      <sheetName val="TARIFF"/>
      <sheetName val="LOOKUP"/>
      <sheetName val="Instructions"/>
      <sheetName val="Request"/>
      <sheetName val="Shipments - lb"/>
      <sheetName val="Shipments - kg"/>
      <sheetName val="Discounts - lb"/>
      <sheetName val="Discounts - kg"/>
      <sheetName val="Shipments - lb current"/>
      <sheetName val="Shipments - lb total"/>
      <sheetName val="Approved Discts-lb"/>
      <sheetName val="Shipments - kg current"/>
      <sheetName val="Shipments - kg total"/>
      <sheetName val="Approved Discts-kg"/>
      <sheetName val="Countries"/>
      <sheetName val="TempVariables"/>
      <sheetName val="Shipments - current"/>
      <sheetName val="Summary"/>
      <sheetName val="Shipment Data"/>
      <sheetName val="Pivot"/>
      <sheetName val="Unit Rates"/>
      <sheetName val="Rate Lookup"/>
      <sheetName val="Rate Sheet"/>
      <sheetName val="挂号 HKDGM-BQ 旧"/>
      <sheetName val="挂号 HKDGM-UDF新"/>
      <sheetName val="Express"/>
      <sheetName val="Expedited"/>
      <sheetName val="Rates Mar"/>
      <sheetName val="Average"/>
      <sheetName val="L"/>
      <sheetName val="目录"/>
      <sheetName val="Dis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Q1-2000vsQ1-1999"/>
      <sheetName val="Income Statement"/>
      <sheetName val="Rev in %"/>
      <sheetName val="Quality graphs mail"/>
      <sheetName val="Mail Division"/>
      <sheetName val="Express Division"/>
      <sheetName val="Logistics Division"/>
      <sheetName val="Operating expenses"/>
      <sheetName val="Goodwill, non-rec."/>
      <sheetName val="withdrawals"/>
      <sheetName val="cash flow statement"/>
      <sheetName val="Capital expenditures"/>
      <sheetName val="balance sheet"/>
      <sheetName val=" prelimanery BS"/>
      <sheetName val="Ratios"/>
      <sheetName val="Employees"/>
      <sheetName val="Dilution"/>
      <sheetName val="New card vs old"/>
      <sheetName val="BASE GRAPHE"/>
      <sheetName val="rates_input"/>
      <sheetName val="List"/>
      <sheetName val="Input"/>
      <sheetName val="EpCalc"/>
      <sheetName val="Extract"/>
      <sheetName val="Dialog1"/>
      <sheetName val="Dialog2"/>
      <sheetName val="opens"/>
      <sheetName val="Entity"/>
      <sheetName val="Extract_Macro"/>
      <sheetName val="Hide"/>
      <sheetName val="Belgium BS &amp; CF"/>
      <sheetName val="Belgium KPI"/>
      <sheetName val="Front-sheet"/>
      <sheetName val="Table of Contents"/>
      <sheetName val="Business Growth"/>
      <sheetName val="9-Columns"/>
      <sheetName val="EMN DPS"/>
      <sheetName val="EMN Comments 1"/>
      <sheetName val="EMN P&amp;L"/>
      <sheetName val="EMN KPI's"/>
      <sheetName val="Belgium DPS"/>
      <sheetName val="B Comments 1"/>
      <sheetName val="Belgium P&amp;L"/>
      <sheetName val="B Comments 2"/>
      <sheetName val="I DPS"/>
      <sheetName val="I Comments 1"/>
      <sheetName val="I P&amp;L"/>
      <sheetName val="I Comments 2"/>
      <sheetName val="I KPI"/>
      <sheetName val="I BS &amp; CF"/>
      <sheetName val="NL DPS"/>
      <sheetName val="NL Comments 1"/>
      <sheetName val="NL P&amp;L"/>
      <sheetName val="NL Comments 2"/>
      <sheetName val="NL KPI"/>
      <sheetName val="NL BS &amp; CF"/>
      <sheetName val="UK DPS"/>
      <sheetName val="UK Comments 1"/>
      <sheetName val="UK P&amp;L"/>
      <sheetName val="UK Comments 2"/>
      <sheetName val="UK KPI"/>
      <sheetName val="UK BS &amp; CF"/>
      <sheetName val="Germany DPS"/>
      <sheetName val="Germany P&amp;L"/>
      <sheetName val="Networks DPS"/>
      <sheetName val="Networks Comments 1"/>
      <sheetName val="Networks P&amp;L"/>
      <sheetName val="Networks Comments 2"/>
      <sheetName val="Networks KPI"/>
      <sheetName val="Networks BS &amp; CF"/>
      <sheetName val="EP DPS"/>
      <sheetName val="EP Comments 1"/>
      <sheetName val="EP P&amp;L"/>
      <sheetName val="EP Comments 2"/>
      <sheetName val="EP KPI"/>
      <sheetName val="EP BS &amp; CF"/>
      <sheetName val="A DPS"/>
      <sheetName val="A Comments 1"/>
      <sheetName val="A P&amp;L"/>
      <sheetName val="A Comments 2"/>
      <sheetName val="A KPI"/>
      <sheetName val="A BS &amp; CF"/>
      <sheetName val="CEE DPS"/>
      <sheetName val="CEE Comments 1"/>
      <sheetName val="CEE P&amp;L"/>
      <sheetName val="CEE Comments 2"/>
      <sheetName val="CEE KPI"/>
      <sheetName val="CEE BS &amp; CF"/>
      <sheetName val="THO DPS"/>
      <sheetName val="THO Comments 1"/>
      <sheetName val="THO P&amp;L"/>
      <sheetName val="Acquisitions"/>
      <sheetName val="Definitions"/>
      <sheetName val="THO BS &amp; CF"/>
      <sheetName val="Germany BS &amp; CF"/>
      <sheetName val="Germany KPI"/>
      <sheetName val="THO KPI"/>
      <sheetName val="EMN KPI"/>
      <sheetName val="EMN BS &amp; CF"/>
      <sheetName val="UK Addressed DPS"/>
      <sheetName val="UK Addressed P&amp;L"/>
      <sheetName val="UK Addressed KPI"/>
      <sheetName val="UK Addressed BS &amp; CF"/>
      <sheetName val="#REF!"/>
      <sheetName val="control"/>
      <sheetName val="model_flows"/>
      <sheetName val="zones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Summary"/>
      <sheetName val="Shipment Data"/>
      <sheetName val="Pivot"/>
      <sheetName val="Unit Rates"/>
      <sheetName val="Rate Lookup"/>
      <sheetName val="Rate Sheet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2004 Rate Lookup"/>
      <sheetName val="2005 Rate Lookup"/>
      <sheetName val="Summary Import"/>
      <sheetName val="Shipment data import"/>
      <sheetName val="Sheet4"/>
      <sheetName val="渠道操作要求"/>
      <sheetName val="D小货促销"/>
      <sheetName val="MYDHL"/>
      <sheetName val="SZD欧洲促销价"/>
      <sheetName val="SZD南美特惠"/>
      <sheetName val="HKD-E价 "/>
      <sheetName val="香港DHL-E分区"/>
      <sheetName val="香港DHL代理分区"/>
      <sheetName val="HKD代理"/>
      <sheetName val="HKD澳新"/>
      <sheetName val="HKD特惠"/>
      <sheetName val="HKD优惠"/>
      <sheetName val="CN联邦IE-A价"/>
      <sheetName val="CN联邦IP-A价"/>
      <sheetName val="SZ联邦IE-D价"/>
      <sheetName val="SZ联邦IP-C价"/>
      <sheetName val="HKF-IE代理 "/>
      <sheetName val="HK联邦IE价"/>
      <sheetName val="香港联邦-IE代理分区"/>
      <sheetName val="香港联邦-IP代理分区"/>
      <sheetName val="HKF-IP代理"/>
      <sheetName val="目录"/>
      <sheetName val="CNT-F价"/>
      <sheetName val="CNT东欧48N15N"/>
      <sheetName val="CNT干电池"/>
      <sheetName val="TNT代理大货价"/>
      <sheetName val="CNT经济"/>
      <sheetName val="CNT经济泡货"/>
      <sheetName val="CNT欧洲48F"/>
      <sheetName val="CNT全球"/>
      <sheetName val="SZT经济"/>
      <sheetName val="SZT全球"/>
      <sheetName val="CNT中东48F"/>
      <sheetName val="HKT特惠"/>
      <sheetName val="HKT欧洲48F"/>
      <sheetName val="香港UPS分区表 "/>
      <sheetName val="香港UPS公布价 "/>
      <sheetName val="CNU-FBA专线"/>
      <sheetName val="CNU美加促销"/>
      <sheetName val="CNU促销FBA"/>
      <sheetName val="CNU红蓝单5K"/>
      <sheetName val="CNU红蓝单6K"/>
      <sheetName val="HKU红单6K "/>
      <sheetName val="HKU红单特惠 "/>
      <sheetName val="HKU蓝单特惠"/>
      <sheetName val="HKU蓝单B"/>
      <sheetName val="美国UPS空加派"/>
      <sheetName val="日本专线"/>
      <sheetName val="HKU促销SCS"/>
      <sheetName val="FBA海运"/>
      <sheetName val="FBA空运"/>
      <sheetName val="香港中东代理"/>
      <sheetName val="SCS发票"/>
      <sheetName val="SCS装箱单"/>
      <sheetName val="HK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"/>
      <sheetName val="WEIGHTBREAKS"/>
      <sheetName val="ZONE_EXTRACT"/>
      <sheetName val="RANGELOOKUP"/>
      <sheetName val="CZ PPL Parcels"/>
      <sheetName val="CZ Europack DOM"/>
      <sheetName val="CZ Sprint 24"/>
      <sheetName val="CZ Economy"/>
      <sheetName val="CZ Europlus INT"/>
      <sheetName val="CZ Europack INT"/>
      <sheetName val="CZ INT Zoning"/>
      <sheetName val="INDEX"/>
      <sheetName val="Breaks Euros"/>
      <sheetName val="#REF!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-&gt; EDV Budget"/>
      <sheetName val="Tool"/>
      <sheetName val="Systemnachricht - CashAllocatio"/>
      <sheetName val="-&gt; EDV manuell"/>
      <sheetName val="-&gt; EDV zfdopkp1"/>
      <sheetName val="-&gt; EDV Umsatz"/>
      <sheetName val="-&gt; EDV Umsätze (Depot)"/>
      <sheetName val="-&gt; EDV RR"/>
      <sheetName val="RUNWAY"/>
      <sheetName val="-&gt; EDV Factora"/>
      <sheetName val="Titel"/>
      <sheetName val="Titel (Inhaltsverzeichnis)"/>
      <sheetName val="ME Zusammenfassung"/>
      <sheetName val="ME uninvoiced cons"/>
      <sheetName val="ME Umsätze"/>
      <sheetName val="ME Offene Posten"/>
      <sheetName val="ME Reklamationen"/>
      <sheetName val="ME Factora"/>
      <sheetName val="Tabelle1 (von Beate HvdL - Con)"/>
      <sheetName val="F5"/>
      <sheetName val="F5x"/>
      <sheetName val="F5xR"/>
      <sheetName val="Wochen"/>
      <sheetName val="Monate"/>
      <sheetName val="RUNWAY DATA WAREHOUSE"/>
      <sheetName val="#REF!"/>
      <sheetName val="MENU"/>
      <sheetName val="comp2"/>
      <sheetName val="comp3"/>
      <sheetName val="compnew"/>
      <sheetName val="comp2vscompnew"/>
      <sheetName val="comp3vscompnew"/>
      <sheetName val="compnew vs compold"/>
      <sheetName val="compold"/>
      <sheetName val="UPS vs compnew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"/>
      <sheetName val="setup"/>
      <sheetName val="Compzone"/>
      <sheetName val="comp zone comparison"/>
      <sheetName val="compold"/>
      <sheetName val="compnew"/>
      <sheetName val="UPS"/>
      <sheetName val="comp2"/>
      <sheetName val="compnew vs compold"/>
      <sheetName val="comp3"/>
      <sheetName val="UPS vs compnew"/>
      <sheetName val="comp2vscompnew"/>
      <sheetName val="comp3vscompnew"/>
      <sheetName val="Asiagraph"/>
      <sheetName val="Oceania&amp;USAgraph"/>
      <sheetName val="Europe&amp;Row graph "/>
      <sheetName val="G1 (compnew vs compold)"/>
      <sheetName val="G2 (UPS vs compnew)"/>
      <sheetName val="G3 (compnew vs comp2)"/>
      <sheetName val="G4 (compnew vs comp3)"/>
      <sheetName val="Marketing Code"/>
      <sheetName val="#REF!"/>
      <sheetName val=" prelimanery BS"/>
      <sheetName val="Capital expenditures"/>
      <sheetName val="balance sheet"/>
      <sheetName val="Mail Division"/>
      <sheetName val="Income Statement"/>
      <sheetName val="Goodwill, non-rec."/>
      <sheetName val="Rev in 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FBA目录表"/>
      <sheetName val="联系我们"/>
      <sheetName val="增值服务收费标准"/>
      <sheetName val="YVR01"/>
      <sheetName val="YYZ08"/>
      <sheetName val="YYZ01"/>
      <sheetName val="VAN01&amp;02"/>
      <sheetName val="TOR01&amp;02"/>
      <sheetName val="CA-S-KA02"/>
      <sheetName val="CA-S-KA01"/>
      <sheetName val="CA-S-KA05"/>
      <sheetName val="CA-S-FBA01"/>
      <sheetName val="LAX08"/>
      <sheetName val="LAX01"/>
      <sheetName val="LAX05"/>
      <sheetName val="JFK01"/>
      <sheetName val="LGB01"/>
      <sheetName val="LGB02"/>
      <sheetName val="LGB03"/>
      <sheetName val="LGB04"/>
      <sheetName val="LGB05"/>
      <sheetName val="US-S-KA02"/>
      <sheetName val="US-S-KA01"/>
      <sheetName val="US-S-KA05"/>
      <sheetName val="US-S-FBA01"/>
      <sheetName val="美国海运整柜报价"/>
      <sheetName val="LGG01"/>
      <sheetName val="LGG02"/>
      <sheetName val="LGG05"/>
      <sheetName val="LGG06"/>
      <sheetName val="LON01"/>
      <sheetName val="OSA01"/>
      <sheetName val="美国FBA海卡地址参照"/>
      <sheetName val="快递协助清关"/>
      <sheetName val="跨境堡"/>
      <sheetName val="欧洲专线箱单&amp;发票模板"/>
      <sheetName val="空海派专线箱单&amp;发票模板"/>
      <sheetName val="美国FBAS特快专线"/>
      <sheetName val="美国带电经济专线FBAU"/>
      <sheetName val="FBA英国特快双清专线"/>
      <sheetName val="日本FBA专线发票模板"/>
      <sheetName val="日本FBA专线装箱单模板"/>
      <sheetName val="美国协助清单发票模板"/>
      <sheetName val="加拿大协助清关发票模板"/>
      <sheetName val="常见带磁性产品分类"/>
      <sheetName val="Footwear Invoice 发票模板"/>
      <sheetName val="Comp2"/>
      <sheetName val="Ref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Comp Benchmarking"/>
      <sheetName val="Benchmarking_later"/>
      <sheetName val="Benchmarking matrix"/>
      <sheetName val="Switching Premium"/>
      <sheetName val="Zoning"/>
      <sheetName val="DHL OB DR"/>
      <sheetName val="DHL OB SR"/>
      <sheetName val="DHL OB LR"/>
      <sheetName val="Express Pallet"/>
      <sheetName val="Express Pallet zoning"/>
      <sheetName val="Jumbo"/>
      <sheetName val="TDD"/>
      <sheetName val="TDD zoning"/>
      <sheetName val="EXPRESS4YOU"/>
      <sheetName val="DOM"/>
      <sheetName val="FDX OB DR"/>
      <sheetName val="FDX OB SR"/>
      <sheetName val="FDX OB LR"/>
      <sheetName val="FDX ZONES IB &amp; OB"/>
      <sheetName val="TNT OB DR"/>
      <sheetName val="TNT OB SR"/>
      <sheetName val="TNT OB DHL LR"/>
      <sheetName val="TNT ZONES IB &amp; OB"/>
      <sheetName val="UPS OB DR"/>
      <sheetName val="UPS OB SR"/>
      <sheetName val="UPS OB LR"/>
      <sheetName val="UPS ZONES IB &amp; OB"/>
      <sheetName val="COMP OB DR"/>
      <sheetName val="COMP OB SR"/>
      <sheetName val="COMP OB DHL LR"/>
      <sheetName val="COMP ZONES IB &amp; OB"/>
      <sheetName val="Contract Description"/>
      <sheetName val="Discount Policy"/>
      <sheetName val="Belgium BS &amp; CF"/>
      <sheetName val="Belgium KPI"/>
      <sheetName val="Discount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Competitors"/>
      <sheetName val="New card vs old"/>
      <sheetName val="Contract Rates"/>
      <sheetName val="Contract Rates Schedule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  <sheetName val="-&gt; EDV Budget"/>
      <sheetName val="Tool"/>
      <sheetName val="zones_input"/>
      <sheetName val="control"/>
      <sheetName val="rates_input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Competitors"/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New card vs old"/>
      <sheetName val="Contract Rates"/>
      <sheetName val="Contract Rates Schedule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9"/>
      <sheetName val="Module10"/>
      <sheetName val="List"/>
      <sheetName val="Input"/>
      <sheetName val="EpCalc"/>
      <sheetName val="Extract"/>
      <sheetName val="Dialog1"/>
      <sheetName val="Dialog2"/>
      <sheetName val="opens"/>
      <sheetName val="Entity"/>
      <sheetName val="Extract_Macro"/>
      <sheetName val="Hide"/>
      <sheetName val="#REF!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control"/>
      <sheetName val="model_flow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Name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Marketing Code"/>
      <sheetName val="#ref!"/>
      <sheetName val="INDEX"/>
      <sheetName val="Breaks Euros"/>
      <sheetName val="Competitors"/>
      <sheetName val="copy of compnetrates"/>
      <sheetName val="HK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Retrieve"/>
      <sheetName val="Frank - use"/>
      <sheetName val="Diferences"/>
      <sheetName val="Mail(1)"/>
      <sheetName val="Frank"/>
      <sheetName val="Mail"/>
      <sheetName val="Competitors"/>
      <sheetName val="New card vs old"/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  <sheetName val="-&gt; EDV Budget"/>
      <sheetName val="Tool"/>
      <sheetName val="List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Summary"/>
      <sheetName val="Shipment Data"/>
      <sheetName val="Pivot"/>
      <sheetName val="Unit Rates"/>
      <sheetName val="Rate Lookup"/>
      <sheetName val="Rate Sheet"/>
      <sheetName val="Pov"/>
      <sheetName val="Competition (ctry input)"/>
      <sheetName val="目录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Code"/>
      <sheetName val="Customer Distribution List"/>
      <sheetName val="comp2"/>
      <sheetName val="comp3"/>
      <sheetName val="compnew"/>
      <sheetName val="comp2vscompnew"/>
      <sheetName val="comp3vscompnew"/>
      <sheetName val="compnew vs compold"/>
      <sheetName val="compold"/>
      <sheetName val="UPS vs compnew"/>
      <sheetName val="#REF!"/>
      <sheetName val="Belgium BS &amp; CF"/>
      <sheetName val="Belgium KP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Country"/>
      <sheetName val="Instructions"/>
      <sheetName val="Input Sheet"/>
      <sheetName val="Output Sheet 1"/>
      <sheetName val="Output Sheet 2"/>
      <sheetName val="Output Sheet 3"/>
      <sheetName val="Data Retrieve Sheet"/>
      <sheetName val="#REF!"/>
      <sheetName val="Retrieve"/>
      <sheetName val="Frank - use"/>
      <sheetName val="Diferences"/>
      <sheetName val="Mail(1)"/>
      <sheetName val="Frank"/>
      <sheetName val="Mail"/>
      <sheetName val="List"/>
      <sheetName val="Competitors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Portfolio Discount"/>
      <sheetName val="Cover"/>
      <sheetName val="Zone Discount"/>
      <sheetName val="Express Export Net Rates"/>
      <sheetName val="Economy Export Net Rates"/>
      <sheetName val="Express Import Net Rates"/>
      <sheetName val="Economy Import Net Rates"/>
      <sheetName val="destinations and services"/>
      <sheetName val="Canada 1- Zipcodes"/>
      <sheetName val="Express Export Gross Rates"/>
      <sheetName val="Economy Export Gross Rates"/>
      <sheetName val="Express Import Gross Rates"/>
      <sheetName val="Economy Import Gross Rates"/>
      <sheetName val="POV"/>
      <sheetName val="comp2"/>
      <sheetName val="comp3"/>
      <sheetName val="compnew"/>
      <sheetName val="comp2vscompnew"/>
      <sheetName val="comp3vscompnew"/>
      <sheetName val="compnew vs compold"/>
      <sheetName val="compold"/>
      <sheetName val="Marketing Code"/>
      <sheetName val="UPS vs compnew"/>
      <sheetName val="-&gt; EDV Budget"/>
      <sheetName val="To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User Input"/>
      <sheetName val="Multi Box"/>
      <sheetName val="Check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data"/>
      <sheetName val="Sheet1"/>
      <sheetName val="Start"/>
      <sheetName val="Comp2"/>
      <sheetName val="#REF!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Curr_conv"/>
      <sheetName val="Datasheet_Loc (2)"/>
      <sheetName val="Datasheet_Loc"/>
      <sheetName val="P&amp;L_Loc"/>
      <sheetName val="P&amp;L_NLG"/>
      <sheetName val="P&amp;L_NLG @ 98"/>
      <sheetName val="Review_Loc"/>
      <sheetName val="Review_NLG"/>
      <sheetName val="Region Review"/>
      <sheetName val="Hyperion"/>
      <sheetName val="Check"/>
      <sheetName val="NCS"/>
      <sheetName val="Country"/>
      <sheetName val="Instructions"/>
      <sheetName val="Input Sheet"/>
      <sheetName val="Output Sheet 1"/>
      <sheetName val="Output Sheet 2"/>
      <sheetName val="Output Sheet 3"/>
      <sheetName val="Data Retrieve Sheet"/>
      <sheetName val="Competitors"/>
      <sheetName val="Ref"/>
      <sheetName val="New card vs old"/>
      <sheetName val="Portfolio Discount"/>
      <sheetName val="Cover"/>
      <sheetName val="Zone Discount"/>
      <sheetName val="Express Export Net Rates"/>
      <sheetName val="Economy Export Net Rates"/>
      <sheetName val="Express Import Net Rates"/>
      <sheetName val="Economy Import Net Rates"/>
      <sheetName val="destinations and services"/>
      <sheetName val="Canada 1- Zipcodes"/>
      <sheetName val="Express Export Gross Rates"/>
      <sheetName val="Economy Export Gross Rates"/>
      <sheetName val="Express Import Gross Rates"/>
      <sheetName val="Economy Import Gross Rates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-&gt; EDV Budget"/>
      <sheetName val="Comp2"/>
      <sheetName val="Customer Code"/>
      <sheetName val="Marketing Code"/>
      <sheetName val=" prelimanery BS"/>
      <sheetName val="Capital expenditures"/>
      <sheetName val="balance sheet"/>
      <sheetName val="Mail Division"/>
      <sheetName val="Income Statement"/>
      <sheetName val="Goodwill, non-rec."/>
      <sheetName val="Rev in %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Current IMP"/>
      <sheetName val="Current Costs"/>
      <sheetName val="Current Cost Card"/>
      <sheetName val="Current Margin "/>
      <sheetName val="ISR"/>
      <sheetName val="Zone"/>
      <sheetName val="New IMP"/>
      <sheetName val="New Costs"/>
      <sheetName val="New Cost Card"/>
      <sheetName val="New IMP Margin"/>
      <sheetName val="Competitors"/>
      <sheetName val="New card vs old"/>
      <sheetName val="-&gt; EDV Budget"/>
      <sheetName val="#REF!"/>
      <sheetName val="Tool"/>
      <sheetName val="OB600r"/>
      <sheetName val="2006 Zone(OB)"/>
      <sheetName val="#REF"/>
      <sheetName val="INDEX"/>
      <sheetName val="Breaks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Code"/>
      <sheetName val="Marketing Code"/>
      <sheetName val="#REF!"/>
      <sheetName val="Competitors"/>
      <sheetName val="New card vs old"/>
      <sheetName val="Competition (ctry inpu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  <sheetName val="Current Tariff"/>
      <sheetName val="Current Costs"/>
      <sheetName val="Current Cost Card $"/>
      <sheetName val="Current Margin card %"/>
      <sheetName val="Graph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TRM MODEL"/>
      <sheetName val="Main"/>
      <sheetName val="Unit Costs"/>
      <sheetName val="Shipment costs"/>
      <sheetName val="DEF Rate Table"/>
      <sheetName val="OB Contracts"/>
      <sheetName val="Full Tariff Shipments"/>
      <sheetName val="Revenue Impact Details"/>
      <sheetName val="Jumbo"/>
      <sheetName val="Proposed IB Tariff"/>
      <sheetName val="Rainbow"/>
      <sheetName val="Inbound ISRs"/>
      <sheetName val="OB Zone List"/>
      <sheetName val="#REF!"/>
      <sheetName val="List"/>
      <sheetName val="Country"/>
      <sheetName val="EBIT"/>
      <sheetName val="Marketing Code"/>
      <sheetName val="comp2"/>
      <sheetName val="comp3"/>
      <sheetName val="compnew"/>
      <sheetName val="comp2vscompnew"/>
      <sheetName val="comp3vscompnew"/>
      <sheetName val="compnew vs compold"/>
      <sheetName val="compold"/>
      <sheetName val="UPS vs comp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Zones for RSO"/>
      <sheetName val="datos"/>
      <sheetName val="notas"/>
      <sheetName val="#REF!"/>
      <sheetName val="Marketing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总表"/>
      <sheetName val="开户表"/>
      <sheetName val="联系表"/>
      <sheetName val="墨西哥空运专线A价 "/>
      <sheetName val="墨西哥空运海运箱单"/>
      <sheetName val="美国US01大陆直飞快线"/>
      <sheetName val="美国专线香港直飞US02"/>
      <sheetName val="美国大陆转飞慢线US03"/>
      <sheetName val="美国专线US01-装箱单"/>
      <sheetName val="美国专线US01-发票"/>
      <sheetName val="大陆飞发票"/>
      <sheetName val="大陆飞箱单"/>
      <sheetName val="英国包税专线"/>
      <sheetName val="英国包税专线发票模板"/>
      <sheetName val="欧洲专线大陆飞普货价"/>
      <sheetName val="欧州FBA香港韩国飞"/>
      <sheetName val="F-EU02发票箱单模板"/>
      <sheetName val="美国香港直飞发票模板"/>
      <sheetName val="美国香港直飞装箱单模板"/>
      <sheetName val="zones_input"/>
      <sheetName val="control"/>
      <sheetName val="rates_input"/>
      <sheetName val="YIELD Euro"/>
      <sheetName val="Code"/>
      <sheetName val="Customer Distribution List"/>
      <sheetName val="Ref"/>
      <sheetName val="Comp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Portfolio Discount"/>
      <sheetName val="Cover"/>
      <sheetName val="Zone Discount"/>
      <sheetName val="Express Export Net Rates"/>
      <sheetName val="Economy Export Net Rates"/>
      <sheetName val="Express Import Net Rates"/>
      <sheetName val="Economy Import Net Rates"/>
      <sheetName val="destinations and services"/>
      <sheetName val="Canada 1- Zipcodes"/>
      <sheetName val="Express Export Gross Rates"/>
      <sheetName val="Economy Export Gross Rates"/>
      <sheetName val="Express Import Gross Rates"/>
      <sheetName val="Economy Import Gross Rates"/>
      <sheetName val="#REF!"/>
      <sheetName val="澳门FEDEX"/>
      <sheetName val="Zones"/>
      <sheetName val="Main"/>
      <sheetName val="Current Tariff"/>
      <sheetName val="Unit Costs"/>
      <sheetName val="Shipment costs"/>
      <sheetName val="DEF Rate Table"/>
      <sheetName val="Competitors"/>
      <sheetName val="New Tariff"/>
      <sheetName val="OB Contracts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  <sheetName val="Discounts"/>
      <sheetName val="Express Export Ratesheet"/>
      <sheetName val="Economy Export Ratesheet"/>
      <sheetName val="Express Import Ratesheet"/>
      <sheetName val="Economy Import Ratesheet"/>
      <sheetName val="Rate Lookup"/>
      <sheetName val="Rate Sheet"/>
      <sheetName val="TG-ON LINE"/>
      <sheetName val="Current Costs"/>
      <sheetName val="Current Cost Card $"/>
      <sheetName val="Current Margin card %"/>
      <sheetName val="Graph"/>
      <sheetName val="New Costs"/>
      <sheetName val="New Cost Card $"/>
      <sheetName val="New Margin card %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  <sheetName val="Country"/>
      <sheetName val="Belgium BS &amp; CF"/>
      <sheetName val="Belgium KP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SZ.UPS区域表(区域排序)"/>
      <sheetName val="SZ.UPS华南内部价（暂不公布）"/>
      <sheetName val="F3b"/>
      <sheetName val="#REF"/>
      <sheetName val="Curr_conv"/>
      <sheetName val="Competitors"/>
      <sheetName val="中速经济TNT"/>
      <sheetName val="User Input"/>
      <sheetName val="Start"/>
      <sheetName val="-&gt; EDV Budget"/>
      <sheetName val="To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联络表"/>
      <sheetName val="国际快递规则"/>
      <sheetName val="SZ DHL大货"/>
      <sheetName val="UPS-A"/>
      <sheetName val="UPS-B"/>
      <sheetName val="HKUPS-C"/>
      <sheetName val="CN-FDX-IEA"/>
      <sheetName val="SZ-FDX-B"/>
      <sheetName val="SZ-FDX IP-C"/>
      <sheetName val="TNT 特惠"/>
      <sheetName val="HK TNT-48N-A"/>
      <sheetName val="HKTNT-48N B"/>
      <sheetName val="HKTNT-C"/>
      <sheetName val="HK TNT进口1"/>
      <sheetName val="HK TNT 进口2"/>
      <sheetName val="UPS -B分区"/>
      <sheetName val="HK TNT -48N-A分区"/>
      <sheetName val="HKTNT-48N B分区"/>
      <sheetName val="HK TNT -48-C分区"/>
      <sheetName val="HK FEDEX 南美"/>
      <sheetName val="CN FDX 分区"/>
      <sheetName val="ME uninvoiced cons"/>
      <sheetName val="Curr_conv"/>
      <sheetName val="List"/>
      <sheetName val="Competi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WB (old)"/>
      <sheetName val="WB"/>
      <sheetName val="Rates LCY"/>
      <sheetName val="DOM LCY"/>
      <sheetName val="WB USD"/>
      <sheetName val="Rates USD"/>
      <sheetName val="Contracts (old)"/>
      <sheetName val="Matrix (old)"/>
      <sheetName val="DOM USD"/>
      <sheetName val="Contracts 2002"/>
      <sheetName val="Matrix 2002"/>
      <sheetName val="Zones 2002"/>
      <sheetName val="IATA Zones"/>
      <sheetName val="Jumbo 2002"/>
      <sheetName val="Jumbo Zoning"/>
      <sheetName val="Current IMP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Benchmarking_later"/>
      <sheetName val="Input Screen"/>
      <sheetName val="WPX"/>
      <sheetName val="DOX"/>
      <sheetName val="DOM"/>
      <sheetName val="IMP"/>
      <sheetName val="Jumbo and Junior"/>
      <sheetName val="OB ZONES"/>
      <sheetName val="IB ZONES"/>
      <sheetName val="Weight Break Charges"/>
      <sheetName val="Contracts"/>
      <sheetName val="Contract Matrix"/>
      <sheetName val="Sheet1"/>
      <sheetName val="Summary"/>
      <sheetName val="INDEX"/>
      <sheetName val="Breaks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basedata"/>
      <sheetName val="sys"/>
      <sheetName val="zonenOLD"/>
      <sheetName val="zonen"/>
      <sheetName val="ZoneNr"/>
      <sheetName val="zmatrix"/>
      <sheetName val="euromap"/>
      <sheetName val="SPcalc"/>
      <sheetName val="SHcalc"/>
      <sheetName val="RCprices"/>
      <sheetName val="SHratecards"/>
      <sheetName val="Tabelle2"/>
      <sheetName val="Tabelle1"/>
      <sheetName val="ecx WB"/>
      <sheetName val="adjusted tdd12 rates "/>
      <sheetName val="adjusted tdd9 rates"/>
      <sheetName val="skp"/>
      <sheetName val="tdd12 rates"/>
      <sheetName val="tdd9 rates"/>
      <sheetName val="Zones"/>
      <sheetName val="comp2"/>
      <sheetName val="comp3"/>
      <sheetName val="compnew"/>
      <sheetName val="comp2vscompnew"/>
      <sheetName val="comp3vscompnew"/>
      <sheetName val="compnew vs compold"/>
      <sheetName val="compold"/>
      <sheetName val="UPS vs compnew"/>
      <sheetName val="Country"/>
      <sheetName val="Marketing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Graph WKYTD"/>
      <sheetName val="Graph WK "/>
      <sheetName val="Graph YTD"/>
      <sheetName val="Revenue Quality B"/>
      <sheetName val="Revenue Quality F"/>
      <sheetName val="YIELD Euro"/>
      <sheetName val="Graph WK"/>
      <sheetName val="Distibution list "/>
      <sheetName val="Wk Euro"/>
      <sheetName val="WkYTD Euro "/>
      <sheetName val="GRAPHES Q4"/>
      <sheetName val=" Trend Wk Euro"/>
      <sheetName val="DMMS Euro"/>
      <sheetName val="Goodwill, non-rec."/>
      <sheetName val="Competitors"/>
      <sheetName val="EMN KPI's "/>
      <sheetName val="CEE DPS"/>
      <sheetName val="EMN HO DPS"/>
      <sheetName val="Austria DPS"/>
      <sheetName val="EP Europost DPS"/>
      <sheetName val="Germany Networks DPS"/>
      <sheetName val="Germany DPS"/>
      <sheetName val="UK TPG DPS"/>
      <sheetName val="United Kingdom DPS"/>
      <sheetName val="Italy DPS"/>
      <sheetName val="The Netherlands DPS"/>
      <sheetName val="Belgium DPS"/>
      <sheetName val="Front-sheet"/>
      <sheetName val="Table of Contents"/>
      <sheetName val="Business Growth"/>
      <sheetName val="9-Columns"/>
      <sheetName val="EMN DPS"/>
      <sheetName val="EMN Comments (1)"/>
      <sheetName val="EMN P&amp;L "/>
      <sheetName val="Belgium P&amp;L "/>
      <sheetName val="Italy P&amp;L"/>
      <sheetName val="The Netherlands P&amp;L"/>
      <sheetName val="UK TPG P&amp;L"/>
      <sheetName val="United Kingdom P&amp;L"/>
      <sheetName val="Germany P&amp;L"/>
      <sheetName val="Germany Networks P&amp;L"/>
      <sheetName val="EP Europost P&amp;L"/>
      <sheetName val="Austria P&amp;L"/>
      <sheetName val="CEE P&amp;L"/>
      <sheetName val="EMN HO P&amp;L"/>
      <sheetName val="EMN Comments (2)"/>
      <sheetName val="EMN P&amp;L"/>
      <sheetName val="KPI's"/>
      <sheetName val="KPI's (2)"/>
      <sheetName val="Country DPS"/>
      <sheetName val="Comments Country"/>
      <sheetName val="Country P&amp; L "/>
      <sheetName val="Graph Country"/>
      <sheetName val="KPI's (Country 2)"/>
      <sheetName val="Belgium Comments (1)"/>
      <sheetName val="Belgium Comments (2)"/>
      <sheetName val="Belgium KPI's"/>
      <sheetName val="Belgium BS &amp; CF"/>
      <sheetName val="Italy Comments (1)"/>
      <sheetName val="Italy Comments (2)"/>
      <sheetName val="Netherlands Comments (1)"/>
      <sheetName val="Netherlands Comments (2)"/>
      <sheetName val="UK Comments (1)"/>
      <sheetName val="UK Comments (2)"/>
      <sheetName val="Germany Comments (1)"/>
      <sheetName val="Germany Comments (2)"/>
      <sheetName val="EP Comments (1)"/>
      <sheetName val="EP Comments (2)"/>
      <sheetName val="Austria Comments (1)"/>
      <sheetName val="Austria Comments (2)"/>
      <sheetName val="CEE Comments (1)"/>
      <sheetName val="CEE Comments (2)"/>
      <sheetName val="EMN HO Comments (1)"/>
      <sheetName val="EMN HO Comments (2)"/>
      <sheetName val="Country Charts"/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  <sheetName val="国际快递规则"/>
      <sheetName val="Comp2"/>
      <sheetName val="Curr_conv"/>
      <sheetName val="Customer Code"/>
      <sheetName val="Marketing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Pov"/>
      <sheetName val="Control"/>
      <sheetName val="Extract"/>
      <sheetName val="Extract text fields"/>
      <sheetName val="IC"/>
      <sheetName val="WACC"/>
      <sheetName val="Pov Template"/>
      <sheetName val="Pov Category"/>
      <sheetName val="Pov Period"/>
      <sheetName val="Pov Entity"/>
      <sheetName val="Check Accounts"/>
      <sheetName val="PAG_2A"/>
      <sheetName val="PAG_2AIC"/>
      <sheetName val="PAG_3A"/>
      <sheetName val="PAG_4A"/>
      <sheetName val="PAG_4B"/>
      <sheetName val="PAG_5A"/>
      <sheetName val="PAG_5C"/>
      <sheetName val="PAG_5D"/>
      <sheetName val="PAG_5E"/>
      <sheetName val="PAG_5B"/>
      <sheetName val="PAG_7"/>
      <sheetName val="PAG_7A"/>
      <sheetName val="PAG_8A"/>
      <sheetName val="PAG_8"/>
      <sheetName val="PAG_10"/>
      <sheetName val="PAG_11"/>
      <sheetName val="PAG_13A"/>
      <sheetName val="PAG_14"/>
      <sheetName val="PAG_15"/>
      <sheetName val="PAG_16"/>
      <sheetName val="PAG_17A"/>
      <sheetName val="PAG_17B"/>
      <sheetName val="PAG_18"/>
      <sheetName val="PAG_19"/>
      <sheetName val="PAG_19A"/>
      <sheetName val="PAG_20"/>
      <sheetName val="PAG_20A"/>
      <sheetName val="PAG_21"/>
      <sheetName val="PAG_22"/>
      <sheetName val="PAG_22A"/>
      <sheetName val="PAG_23"/>
      <sheetName val="PAG_23A"/>
      <sheetName val="PAG_24"/>
      <sheetName val="PAG_25"/>
      <sheetName val="PAG_26"/>
      <sheetName val="PAG_27"/>
      <sheetName val="PAG_28"/>
      <sheetName val="PAG_29"/>
      <sheetName val="PAG_30"/>
      <sheetName val="PAG_30A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PAG_41"/>
      <sheetName val="PAG_42"/>
      <sheetName val="PAG_42A"/>
      <sheetName val="PAG_43"/>
      <sheetName val="PAG_44"/>
      <sheetName val="EMN KPI's "/>
      <sheetName val="CEE DPS"/>
      <sheetName val="EMN HO DPS"/>
      <sheetName val="Austria DPS"/>
      <sheetName val="EP Europost DPS"/>
      <sheetName val="Germany Networks DPS"/>
      <sheetName val="Germany DPS"/>
      <sheetName val="UK TPG DPS"/>
      <sheetName val="United Kingdom DPS"/>
      <sheetName val="Italy DPS"/>
      <sheetName val="The Netherlands DPS"/>
      <sheetName val="Belgium DPS"/>
      <sheetName val="Front-sheet"/>
      <sheetName val="Table of Contents"/>
      <sheetName val="Business Growth"/>
      <sheetName val="9-Columns"/>
      <sheetName val="EMN DPS"/>
      <sheetName val="EMN Comments (1)"/>
      <sheetName val="EMN P&amp;L "/>
      <sheetName val="Belgium P&amp;L "/>
      <sheetName val="Italy P&amp;L"/>
      <sheetName val="The Netherlands P&amp;L"/>
      <sheetName val="UK TPG P&amp;L"/>
      <sheetName val="United Kingdom P&amp;L"/>
      <sheetName val="Germany P&amp;L"/>
      <sheetName val="Germany Networks P&amp;L"/>
      <sheetName val="EP Europost P&amp;L"/>
      <sheetName val="Austria P&amp;L"/>
      <sheetName val="CEE P&amp;L"/>
      <sheetName val="EMN HO P&amp;L"/>
      <sheetName val="EMN Comments (2)"/>
      <sheetName val="EMN P&amp;L"/>
      <sheetName val="KPI's"/>
      <sheetName val="KPI's (2)"/>
      <sheetName val="Country DPS"/>
      <sheetName val="Comments Country"/>
      <sheetName val="Country P&amp; L "/>
      <sheetName val="Graph Country"/>
      <sheetName val="KPI's (Country 2)"/>
      <sheetName val="Belgium Comments (1)"/>
      <sheetName val="Belgium Comments (2)"/>
      <sheetName val="Belgium KPI's"/>
      <sheetName val="Belgium BS &amp; CF"/>
      <sheetName val="Italy Comments (1)"/>
      <sheetName val="Italy Comments (2)"/>
      <sheetName val="Netherlands Comments (1)"/>
      <sheetName val="Netherlands Comments (2)"/>
      <sheetName val="UK Comments (1)"/>
      <sheetName val="UK Comments (2)"/>
      <sheetName val="Germany Comments (1)"/>
      <sheetName val="Germany Comments (2)"/>
      <sheetName val="EP Comments (1)"/>
      <sheetName val="EP Comments (2)"/>
      <sheetName val="Austria Comments (1)"/>
      <sheetName val="Austria Comments (2)"/>
      <sheetName val="CEE Comments (1)"/>
      <sheetName val="CEE Comments (2)"/>
      <sheetName val="EMN HO Comments (1)"/>
      <sheetName val="EMN HO Comments (2)"/>
      <sheetName val="Country Charts"/>
      <sheetName val="#REF!"/>
      <sheetName val="Zones"/>
      <sheetName val="Competitors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map"/>
      <sheetName val="Checking"/>
      <sheetName val="EXPT IP BCP % U"/>
      <sheetName val="EXPT IE BCP % U"/>
      <sheetName val="IP EXPT 6382"/>
      <sheetName val="IE EXPT 6382"/>
      <sheetName val="CNS_local_IPEXPT_6382"/>
      <sheetName val="CNS_local_IEEXPT_6382"/>
      <sheetName val="IMPT IP BCP %"/>
      <sheetName val="IMPT IE BCP %"/>
      <sheetName val="IP IMPT 6382"/>
      <sheetName val="IE IMPT 6382"/>
      <sheetName val="CNS_local_IPIMPT_6382"/>
      <sheetName val="CNS_local_IEIMPT_6382"/>
      <sheetName val="PricingGuidelines"/>
      <sheetName val="Menu"/>
      <sheetName val="Default Pricing"/>
      <sheetName val="Expt Zone Pricing"/>
      <sheetName val="Impt Zone Pricing"/>
      <sheetName val="Default Billing Flag"/>
      <sheetName val="Billing Flag By Zone"/>
      <sheetName val="Account Summary"/>
      <sheetName val="Surcharge"/>
      <sheetName val="Surcharge By Service"/>
      <sheetName val="Global Request"/>
      <sheetName val="Clone Global"/>
      <sheetName val="G3P Zone Pricing"/>
      <sheetName val="Expt Disc 638"/>
      <sheetName val="EXPT BD"/>
      <sheetName val="Expt Disc prepaid"/>
      <sheetName val="Impt Disc 638"/>
      <sheetName val="IMPT BD"/>
      <sheetName val="header"/>
      <sheetName val="Impt Disc prepaid"/>
      <sheetName val="G3P_Disc"/>
      <sheetName val="G3P_IP_IE_Rationality"/>
      <sheetName val="G3P_IPF_IEF_Rationality"/>
      <sheetName val="Impt G3P"/>
      <sheetName val="EXPT Rationality Check 638"/>
      <sheetName val="IMPT Rationality Check 638"/>
      <sheetName val="EXPT Rationality Check prepaid"/>
      <sheetName val="IMPT Rationality Check prepaid"/>
      <sheetName val="#REF!"/>
      <sheetName val="Ref"/>
      <sheetName val="Competitors"/>
      <sheetName val="New card vs old"/>
      <sheetName val="Customer Code"/>
      <sheetName val="Marketing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FX06 - FX07 factor"/>
      <sheetName val="Current CL 2006 rates @ FX06"/>
      <sheetName val="Paste Values for dbf"/>
      <sheetName val="CL 2007 rates @ FX07"/>
      <sheetName val="EMN KPI's "/>
      <sheetName val="Competitors"/>
      <sheetName val="Marketing Code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Start"/>
      <sheetName val="Weight Breaks"/>
      <sheetName val="Country List"/>
      <sheetName val="China"/>
      <sheetName val="Marketing Code"/>
      <sheetName val="BASE GRAPHE"/>
      <sheetName val="Competitor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Portfolio Discount"/>
      <sheetName val="Cover"/>
      <sheetName val="Zone Discount"/>
      <sheetName val="Express Export Net Rates"/>
      <sheetName val="Economy Export Net Rates"/>
      <sheetName val="Express Import Net Rates"/>
      <sheetName val="Economy Import Net Rates"/>
      <sheetName val="destinations and services"/>
      <sheetName val="Canada 1- Zipcodes"/>
      <sheetName val="Express Export Gross Rates"/>
      <sheetName val="Economy Export Gross Rates"/>
      <sheetName val="Express Import Gross Rates"/>
      <sheetName val="Economy Import Gross Rates"/>
      <sheetName val="Pov"/>
      <sheetName val="#REF!"/>
      <sheetName val="EMN KPI's "/>
      <sheetName val="Code"/>
      <sheetName val="Customer Distribution List"/>
      <sheetName val="rates_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EXP EUR DIS"/>
      <sheetName val="TNT SUM WKT"/>
      <sheetName val="TNT SUM WKT JSD"/>
      <sheetName val="EXP SUM EUR WKT"/>
      <sheetName val="EXP SUM EUR WKT JSD"/>
      <sheetName val="EXP BBX DIS"/>
      <sheetName val="EXP BFR DIS"/>
      <sheetName val="EXP BFR DIS b"/>
      <sheetName val="EXP BDE DIS"/>
      <sheetName val="EXP BIE DIS"/>
      <sheetName val="EXP BIT DIS"/>
      <sheetName val="EXP BUK DIS"/>
      <sheetName val="Rev Growth"/>
      <sheetName val="EBIT Var"/>
      <sheetName val="EBIT-REV BUD LY"/>
      <sheetName val="EBIT-REV LY LY"/>
      <sheetName val="TPG SUM WKT GRAPH TPG"/>
      <sheetName val="TPG SUM WKT GRAPH TPG JSD"/>
      <sheetName val="TPG INT DOM WKT GRAPH EXPR"/>
      <sheetName val="EXP EUR VAR GPH REV JSD"/>
      <sheetName val="EXP EUR VAR GPH EBIT"/>
      <sheetName val="EXP DE-NVS DIS"/>
      <sheetName val="EXP BJSD DIS "/>
      <sheetName val="EBIT DOM INT BUD"/>
      <sheetName val="EBIT DOM INT LY"/>
      <sheetName val="EBIT-REV"/>
      <sheetName val="#REF!"/>
      <sheetName val="Competitors"/>
      <sheetName val="Pov"/>
      <sheetName val="Country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  <sheetName val="Current Tariff"/>
      <sheetName val="Current Costs"/>
      <sheetName val="Current Cost Card $"/>
      <sheetName val="Current Margin card %"/>
      <sheetName val="Graph"/>
      <sheetName val="New Tariff"/>
      <sheetName val="New Costs"/>
      <sheetName val="New Cost Card $"/>
      <sheetName val="New Margin card %"/>
      <sheetName val="Competitors"/>
      <sheetName val="New card vs ol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HK_REVISED"/>
      <sheetName val="F2"/>
      <sheetName val="RCprices"/>
      <sheetName val="User Input"/>
      <sheetName val="#REF!"/>
      <sheetName val="St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Zone Change"/>
      <sheetName val="Zone"/>
      <sheetName val="SPIPTvsCurrPT"/>
      <sheetName val="RevisedAddMlt"/>
      <sheetName val="Original_CeilingRates"/>
      <sheetName val="#REF!"/>
      <sheetName val="Curr_co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Net Rate-OB"/>
      <sheetName val="Contract Matrix"/>
      <sheetName val="Input Screen"/>
      <sheetName val="WPX"/>
      <sheetName val="DOX"/>
      <sheetName val="IMP"/>
      <sheetName val="DOM"/>
      <sheetName val="Jumbo and Junior"/>
      <sheetName val="Outbound Countries DOX,WPX"/>
      <sheetName val="Origin Countries for IMP"/>
      <sheetName val="Contracts"/>
      <sheetName val="Weight Break Charges"/>
      <sheetName val="Parameter"/>
      <sheetName val="RANGELOOKUP"/>
      <sheetName val="Current I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TPG Key figures"/>
      <sheetName val="POV"/>
      <sheetName val="analysis"/>
      <sheetName val="EXTRA"/>
      <sheetName val="FX06 - FX07 factor"/>
      <sheetName val="Current CL 2006 rates @ FX06"/>
      <sheetName val="EMN KPI's "/>
      <sheetName val="Expt Disc prepaid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IMPLEMENTATION"/>
      <sheetName val="PP-PUBLISHED"/>
      <sheetName val="WWRR"/>
      <sheetName val="Printed material"/>
      <sheetName val="i zone"/>
      <sheetName val="CTRY-GRP CHANGES"/>
      <sheetName val="CTRY-EXPRESS"/>
      <sheetName val="CTRY-EXPEDITED"/>
      <sheetName val="ACCESSORIALS"/>
      <sheetName val="BILLING OPTION"/>
      <sheetName val="TG-ON LINE"/>
      <sheetName val="FX06 - FX07 factor"/>
      <sheetName val="Current CL 2006 rates @ FX06"/>
      <sheetName val="Customer Code"/>
      <sheetName val="Marketing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Fuel Surcharge"/>
      <sheetName val="Zon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IMPLEMENTATION"/>
      <sheetName val="WWRR"/>
      <sheetName val="PP-PUBLISHED"/>
      <sheetName val="WWRR C&amp;F"/>
      <sheetName val="WWRR FOB"/>
      <sheetName val="Printed material"/>
      <sheetName val="CTRY-EXPRESS"/>
      <sheetName val="CTRY-EXPEDITED"/>
      <sheetName val="ACCESSORIALS"/>
      <sheetName val="BILLING OPTION"/>
      <sheetName val="TG-ON LINE"/>
      <sheetName val="Start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Zone-OB"/>
      <sheetName val="Tariff-OB"/>
      <sheetName val="vs Old-OB"/>
      <sheetName val="Profile-OB"/>
      <sheetName val="Net Rate-OB"/>
      <sheetName val="Zone-IB"/>
      <sheetName val="Tariff-IB"/>
      <sheetName val="vs Old-IB"/>
      <sheetName val="Profile-IB"/>
      <sheetName val="Competitors"/>
      <sheetName val="Competitor Zones"/>
      <sheetName val="Cost"/>
      <sheetName val="#REF!"/>
      <sheetName val="rates_input"/>
      <sheetName val="BASE GRAP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Minput"/>
      <sheetName val="Weekly"/>
      <sheetName val="MENU"/>
      <sheetName val="BudMF"/>
      <sheetName val="XXXXX"/>
      <sheetName val="Checklist data"/>
      <sheetName val="Forecaste"/>
      <sheetName val="Comparatif"/>
      <sheetName val="Int Mailfast"/>
      <sheetName val="Int Tanat"/>
      <sheetName val="InternSero"/>
      <sheetName val="Intern MTH"/>
      <sheetName val="WeeklyMail"/>
      <sheetName val="WeeklyTanat"/>
      <sheetName val="Week1"/>
      <sheetName val="Week2"/>
      <sheetName val="Week3"/>
      <sheetName val="Week4"/>
      <sheetName val="Week5"/>
      <sheetName val="Budtanat"/>
      <sheetName val="Feuil1"/>
      <sheetName val="MISDIV"/>
      <sheetName val="ImpBal"/>
      <sheetName val="BudEms"/>
      <sheetName val="BudIntExp"/>
      <sheetName val="Admistat"/>
      <sheetName val="Head count"/>
      <sheetName val="Lookup"/>
      <sheetName val="Securite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Summary"/>
      <sheetName val="Shipment Data"/>
      <sheetName val="Pivot"/>
      <sheetName val="Unit Rates"/>
      <sheetName val="Rate Lookup"/>
      <sheetName val="Rate Sheet"/>
      <sheetName val="#REF!"/>
      <sheetName val="TransferAcquisitionsNonOperatio"/>
      <sheetName val="#REF"/>
      <sheetName val="Zones for RSO"/>
      <sheetName val="datos"/>
      <sheetName val="notas"/>
      <sheetName val="Zones"/>
      <sheetName val="FX06 - FX07 factor"/>
      <sheetName val="TPG Key figures"/>
      <sheetName val="Current CL 2006 rates @ FX06"/>
      <sheetName val="Current Tariff"/>
      <sheetName val="Current Costs"/>
      <sheetName val="Current Cost Card $"/>
      <sheetName val="Current Margin card %"/>
      <sheetName val="Graph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TRM MODEL"/>
      <sheetName val="Customer Info"/>
      <sheetName val="SURCHAR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summary"/>
      <sheetName val="fdx"/>
      <sheetName val="dhl"/>
      <sheetName val="data"/>
      <sheetName val="list"/>
      <sheetName val="#REF!"/>
      <sheetName val="Setup"/>
      <sheetName val="EXP EUR DIS"/>
      <sheetName val="国际快递规则"/>
      <sheetName val="EMN KPI'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Letter"/>
      <sheetName val="OB Rate Table"/>
      <sheetName val="IB Rate Table"/>
      <sheetName val="Step 5 - Zones"/>
      <sheetName val="data"/>
      <sheetName val="OB Contracts"/>
      <sheetName val="IB Contracts"/>
      <sheetName val="Step 1 - Contract Details"/>
      <sheetName val="Step 2 - OB Contracts"/>
      <sheetName val="Step 3 - IB Contracts"/>
      <sheetName val="Step 4 - OB Zone List"/>
      <sheetName val="Help"/>
      <sheetName val="Module1"/>
      <sheetName val="Zones"/>
      <sheetName val="Competitors"/>
      <sheetName val="P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中速经济TNT"/>
      <sheetName val="目录"/>
      <sheetName val="香港DHL"/>
      <sheetName val="DHL美国特惠价 "/>
      <sheetName val="大陆DHL特惠价"/>
      <sheetName val="香港DHL震撼价,(香港DHL部份国家特惠价"/>
      <sheetName val="香港DHL经济服务价"/>
      <sheetName val="SL联邦特惠价"/>
      <sheetName val="FEDEX小货价"/>
      <sheetName val="FEDEX大货价"/>
      <sheetName val="联邦最新分区表"/>
      <sheetName val="SZTNT全球快递价"/>
      <sheetName val="SZTNT经济快递价"/>
      <sheetName val="中速TNT"/>
      <sheetName val="TNT经济快递注意事项"/>
      <sheetName val="UPS CN分区表"/>
      <sheetName val="UPSCN公布价 "/>
      <sheetName val="UPSHK分区表"/>
      <sheetName val="UPSHK公布价 "/>
      <sheetName val="UPS-CN美加特惠价"/>
      <sheetName val="YN专线"/>
      <sheetName val="西欧.中东专线特惠价"/>
      <sheetName val="日本专线"/>
      <sheetName val="USA56专线"/>
      <sheetName val="EMS公布价"/>
      <sheetName val="#REF!"/>
      <sheetName val="RANGELOOKUP"/>
      <sheetName val="Original_CeilingRates"/>
      <sheetName val="Expt Disc prepa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Special rate"/>
      <sheetName val="Pricing2007"/>
      <sheetName val="For IBS (TDD)"/>
      <sheetName val="OB RateCard"/>
      <sheetName val="Pricing2007 Special"/>
      <sheetName val="For IBS Special +TDD"/>
      <sheetName val="OB RateCard Special"/>
      <sheetName val="OB TDD 9 - Print"/>
      <sheetName val="OB TDD 12 - Print"/>
      <sheetName val="OB Special TDD 9 - Print"/>
      <sheetName val="For IBS"/>
      <sheetName val="OB Special TDD 12 - Print"/>
      <sheetName val="Zone TDD - Print"/>
      <sheetName val="OB Express - Print"/>
      <sheetName val="IB Express - Print"/>
      <sheetName val="Jumbo - Print"/>
      <sheetName val="EPallet - Print"/>
      <sheetName val="Zone - Print"/>
      <sheetName val="Reference"/>
      <sheetName val="IB RateCard"/>
      <sheetName val="JB RateCard"/>
      <sheetName val="EP RateCard"/>
      <sheetName val="Zones"/>
      <sheetName val="ZoneCompare"/>
      <sheetName val="NBA 1"/>
      <sheetName val="TG-ON LINE"/>
      <sheetName val="Competitors"/>
      <sheetName val="FX06 - FX07 factor"/>
      <sheetName val="Current CL 2006 rates @ FX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LOOKUP"/>
      <sheetName val="DATA"/>
      <sheetName val="RERATE"/>
      <sheetName val="ZONES"/>
      <sheetName val="RATES"/>
      <sheetName val="TARIFF"/>
      <sheetName val="Setup"/>
      <sheetName val="MENU"/>
      <sheetName val="Contracts"/>
      <sheetName val="Weight Break Charges"/>
      <sheetName val="BASE GRAP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Pov"/>
      <sheetName val="Control"/>
      <sheetName val="Extract"/>
      <sheetName val="Extract text fields"/>
      <sheetName val="IC"/>
      <sheetName val="WACC"/>
      <sheetName val="Pov Template"/>
      <sheetName val="Pov Category"/>
      <sheetName val="Pov Period"/>
      <sheetName val="Pov Entity"/>
      <sheetName val="Check Accounts"/>
      <sheetName val="PAG_2A"/>
      <sheetName val="PAG_2AIC"/>
      <sheetName val="PAG_3A"/>
      <sheetName val="PAG_4A"/>
      <sheetName val="PAG_4B"/>
      <sheetName val="PAG_5A"/>
      <sheetName val="PAG_5C"/>
      <sheetName val="PAG_5D"/>
      <sheetName val="PAG_5E"/>
      <sheetName val="PAG_5B"/>
      <sheetName val="PAG_7"/>
      <sheetName val="PAG_7A"/>
      <sheetName val="PAG_8A"/>
      <sheetName val="PAG_8"/>
      <sheetName val="PAG_10"/>
      <sheetName val="PAG_11"/>
      <sheetName val="PAG_13A"/>
      <sheetName val="PAG_14"/>
      <sheetName val="PAG_15"/>
      <sheetName val="PAG_16"/>
      <sheetName val="PAG_17A"/>
      <sheetName val="PAG_17B"/>
      <sheetName val="PAG_18"/>
      <sheetName val="PAG_19"/>
      <sheetName val="PAG_19A"/>
      <sheetName val="PAG_20"/>
      <sheetName val="PAG_20A"/>
      <sheetName val="PAG_21"/>
      <sheetName val="PAG_22"/>
      <sheetName val="PAG_22A"/>
      <sheetName val="PAG_23"/>
      <sheetName val="PAG_23A"/>
      <sheetName val="PAG_24"/>
      <sheetName val="PAG_25"/>
      <sheetName val="PAG_26"/>
      <sheetName val="PAG_27"/>
      <sheetName val="PAG_28"/>
      <sheetName val="PAG_29"/>
      <sheetName val="PAG_30"/>
      <sheetName val="PAG_30A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PAG_41"/>
      <sheetName val="PAG_42"/>
      <sheetName val="PAG_42A"/>
      <sheetName val="PAG_43"/>
      <sheetName val="PAG_44"/>
      <sheetName val="Sheet4"/>
      <sheetName val="Original_CeilingRates"/>
      <sheetName val="TPG Key figures"/>
      <sheetName val="Competitors"/>
      <sheetName val="St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Feuil1"/>
      <sheetName val="Budget IE2"/>
      <sheetName val="Feuil2"/>
      <sheetName val="Feuil3"/>
      <sheetName val="#REF"/>
      <sheetName val="MENU"/>
      <sheetName val="TPG Key figures"/>
      <sheetName val="Names"/>
      <sheetName val="RANGELOOKUP"/>
      <sheetName val="ecx WB"/>
      <sheetName val="adjusted tdd12 rates "/>
      <sheetName val="adjusted tdd9 rates"/>
      <sheetName val="skp"/>
      <sheetName val="tdd12 rates"/>
      <sheetName val="tdd9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POV"/>
      <sheetName val="FCF Details"/>
      <sheetName val="Cash Flow statement"/>
      <sheetName val="1999_PL"/>
      <sheetName val="2000_PL"/>
      <sheetName val="2001_PL"/>
      <sheetName val="2002_PL"/>
      <sheetName val="Data entry"/>
      <sheetName val="Key driver model"/>
      <sheetName val="CHO graphs"/>
      <sheetName val="graphs"/>
      <sheetName val="Sheet1"/>
      <sheetName val="1999_BS"/>
      <sheetName val="2000_BS"/>
      <sheetName val="2001_BS"/>
      <sheetName val="2002_BS"/>
      <sheetName val="1999_CF"/>
      <sheetName val="2000_cf"/>
      <sheetName val="2001_cf"/>
      <sheetName val="2002_cf"/>
      <sheetName val="Names"/>
      <sheetName val="L"/>
      <sheetName val="i zone"/>
      <sheetName val="TG-ON LINE"/>
      <sheetName val="Competitors"/>
      <sheetName val="Goodwill, non-rec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Sheet1"/>
      <sheetName val="LOOKUP"/>
      <sheetName val="Setup"/>
      <sheetName val="EMN KPI's "/>
      <sheetName val="Customer Info"/>
      <sheetName val="SURCHAR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Input Screen"/>
      <sheetName val="Rate Card"/>
      <sheetName val="Weightbreak in IBS"/>
      <sheetName val="list of weight break-Peninsula"/>
      <sheetName val="RO PT Proposal"/>
      <sheetName val="list of weight break-S&amp;S"/>
      <sheetName val="L"/>
      <sheetName val="Pov"/>
      <sheetName val="Setup"/>
      <sheetName val="EXP EUR D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o US Rate"/>
      <sheetName val="FEA to EU Rate"/>
      <sheetName val="FEA to ROE Rate"/>
      <sheetName val="Cost"/>
      <sheetName val="Act"/>
      <sheetName val="Scenario"/>
      <sheetName val="ME uninvoiced cons"/>
      <sheetName val="RCprice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Portfolio Discount"/>
      <sheetName val="Cover"/>
      <sheetName val="Zone Discount"/>
      <sheetName val="Express Export Net Rates"/>
      <sheetName val="Economy Export Net Rates"/>
      <sheetName val="Express Import Net Rates"/>
      <sheetName val="Economy Import Net Rates"/>
      <sheetName val="destinations and services"/>
      <sheetName val="Canada 1- Zipcodes"/>
      <sheetName val="Express Export Gross Rates"/>
      <sheetName val="Economy Export Gross Rates"/>
      <sheetName val="Express Import Gross Rates"/>
      <sheetName val="Economy Import Gross Rates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DATA"/>
      <sheetName val="RERATE"/>
      <sheetName val="ZONES"/>
      <sheetName val="RATES"/>
      <sheetName val="TARIFF"/>
      <sheetName val="LOOKUP"/>
      <sheetName val="Instructions"/>
      <sheetName val="Request"/>
      <sheetName val="Shipments - lb"/>
      <sheetName val="Shipments - kg"/>
      <sheetName val="Discounts - lb"/>
      <sheetName val="Discounts - kg"/>
      <sheetName val="Shipments - lb current"/>
      <sheetName val="Shipments - lb total"/>
      <sheetName val="Approved Discts-lb"/>
      <sheetName val="Shipments - kg current"/>
      <sheetName val="Shipments - kg total"/>
      <sheetName val="Approved Discts-kg"/>
      <sheetName val="Countries"/>
      <sheetName val="TempVariables"/>
      <sheetName val="Shipments - current"/>
      <sheetName val="Summary"/>
      <sheetName val="Shipment Data"/>
      <sheetName val="Pivot"/>
      <sheetName val="Unit Rates"/>
      <sheetName val="Rate Lookup"/>
      <sheetName val="Rate Sheet"/>
      <sheetName val="挂号 HKDGM-BQ 旧"/>
      <sheetName val="挂号 HKDGM-UDF新"/>
      <sheetName val="Express"/>
      <sheetName val="Expedited"/>
      <sheetName val="#REF!"/>
      <sheetName val="Belgium BS &amp; CF"/>
      <sheetName val="Belgium KPI"/>
      <sheetName val="Front-sheet"/>
      <sheetName val="Table of Contents"/>
      <sheetName val="Business Growth"/>
      <sheetName val="9-Columns"/>
      <sheetName val="EMN DPS"/>
      <sheetName val="EMN Comments 1"/>
      <sheetName val="EMN P&amp;L"/>
      <sheetName val="EMN KPI's"/>
      <sheetName val="Belgium DPS"/>
      <sheetName val="B Comments 1"/>
      <sheetName val="Belgium P&amp;L"/>
      <sheetName val="B Comments 2"/>
      <sheetName val="I DPS"/>
      <sheetName val="I Comments 1"/>
      <sheetName val="I P&amp;L"/>
      <sheetName val="I Comments 2"/>
      <sheetName val="I KPI"/>
      <sheetName val="I BS &amp; CF"/>
      <sheetName val="NL DPS"/>
      <sheetName val="NL Comments 1"/>
      <sheetName val="NL P&amp;L"/>
      <sheetName val="NL Comments 2"/>
      <sheetName val="NL KPI"/>
      <sheetName val="NL BS &amp; CF"/>
      <sheetName val="UK DPS"/>
      <sheetName val="UK Comments 1"/>
      <sheetName val="UK P&amp;L"/>
      <sheetName val="UK Comments 2"/>
      <sheetName val="UK KPI"/>
      <sheetName val="UK BS &amp; CF"/>
      <sheetName val="Germany DPS"/>
      <sheetName val="Germany P&amp;L"/>
      <sheetName val="Networks DPS"/>
      <sheetName val="Networks Comments 1"/>
      <sheetName val="Networks P&amp;L"/>
      <sheetName val="Networks Comments 2"/>
      <sheetName val="Networks KPI"/>
      <sheetName val="Networks BS &amp; CF"/>
      <sheetName val="EP DPS"/>
      <sheetName val="EP Comments 1"/>
      <sheetName val="EP P&amp;L"/>
      <sheetName val="EP Comments 2"/>
      <sheetName val="EP KPI"/>
      <sheetName val="EP BS &amp; CF"/>
      <sheetName val="A DPS"/>
      <sheetName val="A Comments 1"/>
      <sheetName val="A P&amp;L"/>
      <sheetName val="A Comments 2"/>
      <sheetName val="A KPI"/>
      <sheetName val="A BS &amp; CF"/>
      <sheetName val="CEE DPS"/>
      <sheetName val="CEE Comments 1"/>
      <sheetName val="CEE P&amp;L"/>
      <sheetName val="CEE Comments 2"/>
      <sheetName val="CEE KPI"/>
      <sheetName val="CEE BS &amp; CF"/>
      <sheetName val="THO DPS"/>
      <sheetName val="THO Comments 1"/>
      <sheetName val="THO P&amp;L"/>
      <sheetName val="Acquisitions"/>
      <sheetName val="Definitions"/>
      <sheetName val="THO BS &amp; CF"/>
      <sheetName val="Germany BS &amp; CF"/>
      <sheetName val="Germany KPI"/>
      <sheetName val="THO KPI"/>
      <sheetName val="EMN KPI"/>
      <sheetName val="EMN BS &amp; CF"/>
      <sheetName val="UK Addressed DPS"/>
      <sheetName val="UK Addressed P&amp;L"/>
      <sheetName val="UK Addressed KPI"/>
      <sheetName val="UK Addressed BS &amp; CF"/>
      <sheetName val="Ref"/>
      <sheetName val="POV"/>
      <sheetName val="Names"/>
      <sheetName val="澳门FEDEX"/>
      <sheetName val="Original_Ceiling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报价主页"/>
      <sheetName val="通讯录"/>
      <sheetName val="温馨提示"/>
      <sheetName val="香港DHL代理价"/>
      <sheetName val="香港DHL代理分区表"/>
      <sheetName val="香港DHL澳洲特惠价"/>
      <sheetName val="香港DHL-A价"/>
      <sheetName val="香港DHLA价分区表"/>
      <sheetName val="香港DHL-B价"/>
      <sheetName val="香港DHL-B价分区表"/>
      <sheetName val="香港DHL-C价"/>
      <sheetName val="DHL美国特惠价"/>
      <sheetName val="香港DHL-H价"/>
      <sheetName val="香港DHL-H价分区表"/>
      <sheetName val="香港DHL-K价"/>
      <sheetName val="香港DHL-K价分区表"/>
      <sheetName val="大陆DHL特惠价"/>
      <sheetName val="大陆DHL特惠分区表"/>
      <sheetName val="香港UPS速快 代理价"/>
      <sheetName val="香港UPS速快B价"/>
      <sheetName val="香港UPS美国特惠价"/>
      <sheetName val="香港UPS速快公布价"/>
      <sheetName val="香港UPS红单分区表"/>
      <sheetName val="香港FEDEX经济报价"/>
      <sheetName val="香港FEDEX经济报价（IE）分区表"/>
      <sheetName val="LOOKUP"/>
      <sheetName val="RANGELOOKUP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EBIT"/>
      <sheetName val="GEBIT"/>
      <sheetName val="EBIT Alloc NCS Act"/>
      <sheetName val="EBIT Alloc NCS Act + Bud"/>
      <sheetName val="NCS Recovery"/>
      <sheetName val="sheet"/>
      <sheetName val="Sheet3"/>
      <sheetName val="Appr06 EBIT EXPR Curr 1+5"/>
      <sheetName val="Appr07 EBIT EXPR AxJ 4+5"/>
      <sheetName val="F01 Appr01 EBIT"/>
      <sheetName val="F02 Appr04 EBIT Alloc NCS+OTH"/>
      <sheetName val="F03 Appr02 GEBIT"/>
      <sheetName val="F04 Appr05 EBIT Dom"/>
      <sheetName val="Appr03 EBIT Alloc NCS"/>
      <sheetName val="Code"/>
      <sheetName val="Pov"/>
      <sheetName val="Approved Discts-lb"/>
      <sheetName val="Expt Disc prepaid"/>
      <sheetName val="TPG Key figu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CHT EBIT BUD WKLY"/>
      <sheetName val="IND"/>
      <sheetName val="EXP SUM"/>
      <sheetName val="EXP SUM AJ"/>
      <sheetName val="CHT REV PYR"/>
      <sheetName val="CHT GEBIT BUD"/>
      <sheetName val="CHT EBIT BUD"/>
      <sheetName val="CHT EBIT PYR WKLY"/>
      <sheetName val="CHT EBIT LINE"/>
      <sheetName val="CHT GEBIT PYR"/>
      <sheetName val="CHT EBIT PYR"/>
      <sheetName val="WATERFALL YDT PYR REV"/>
      <sheetName val="BUS PER BUD GEBIT b"/>
      <sheetName val="BUS YTD BUD GEBIT b"/>
      <sheetName val="BUS PER PYR GEBIT b"/>
      <sheetName val="BUS YTD PYR GEBIT b"/>
      <sheetName val="DOM P&amp;L SUM PER"/>
      <sheetName val="DOM P&amp;L SUM YTD"/>
      <sheetName val="INT P&amp;L SUM PER"/>
      <sheetName val="INT P&amp;L DET PER"/>
      <sheetName val="INT P&amp;L SUM YTD"/>
      <sheetName val="INT P&amp;L DET YTD"/>
      <sheetName val="Setup"/>
      <sheetName val="BX SUM EBT"/>
      <sheetName val="EXP SUM JSD"/>
      <sheetName val="Code"/>
      <sheetName val="#REF!"/>
      <sheetName val="-&gt; EDV Budget"/>
      <sheetName val="LOOKUP"/>
      <sheetName val="F2"/>
      <sheetName val="RANGE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YIELD Euro"/>
      <sheetName val="Graph WKYTD"/>
      <sheetName val="Graph WK "/>
      <sheetName val="Graph YTD"/>
      <sheetName val="Revenue Quality B"/>
      <sheetName val="Revenue Quality F"/>
      <sheetName val="Graph WK"/>
      <sheetName val="Distibution list "/>
      <sheetName val="Wk Euro"/>
      <sheetName val="WkYTD Euro "/>
      <sheetName val="GRAPHES Q4"/>
      <sheetName val=" Trend Wk Euro"/>
      <sheetName val="DMMS Euro"/>
      <sheetName val="-&gt; EDV Budget"/>
      <sheetName val="POV"/>
      <sheetName val="FX06 - FX07 factor"/>
      <sheetName val="Current CL 2006 rates @ FX06"/>
      <sheetName val="TG-ON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中速经济TNT"/>
      <sheetName val="目录"/>
      <sheetName val="香港DHL"/>
      <sheetName val="DHL美国特惠价 "/>
      <sheetName val="大陆DHL特惠价"/>
      <sheetName val="香港DHL震撼价,(香港DHL部份国家特惠价"/>
      <sheetName val="香港DHL经济服务价"/>
      <sheetName val="SL联邦特惠价"/>
      <sheetName val="FEDEX小货价"/>
      <sheetName val="FEDEX大货价"/>
      <sheetName val="联邦最新分区表"/>
      <sheetName val="SZTNT全球快递价"/>
      <sheetName val="SZTNT经济快递价"/>
      <sheetName val="中速TNT"/>
      <sheetName val="TNT经济快递注意事项"/>
      <sheetName val="UPS CN分区表"/>
      <sheetName val="UPSCN公布价 "/>
      <sheetName val="UPSHK分区表"/>
      <sheetName val="UPSHK公布价 "/>
      <sheetName val="UPS-CN美加特惠价"/>
      <sheetName val="YN专线"/>
      <sheetName val="西欧.中东专线特惠价"/>
      <sheetName val="日本专线"/>
      <sheetName val="USA56专线"/>
      <sheetName val="EMS公布价"/>
      <sheetName val="Portfolio Discount"/>
      <sheetName val="Code"/>
      <sheetName val="EBIT"/>
      <sheetName val="POV"/>
      <sheetName val="Fuel Surcharge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XXXX"/>
      <sheetName val="FDX Published"/>
      <sheetName val="FDXBand1"/>
      <sheetName val="FDXBand2"/>
      <sheetName val="FDXBand3"/>
      <sheetName val="FDXBand4"/>
      <sheetName val="FDXBand5"/>
      <sheetName val="FDXBand6-45%"/>
      <sheetName val="FDXBand7"/>
      <sheetName val="FDXBand8"/>
      <sheetName val="FDXBand9"/>
      <sheetName val="FDXBand10"/>
      <sheetName val="FDX Zones"/>
      <sheetName val="UPS-DOX"/>
      <sheetName val="UPS-WPX"/>
      <sheetName val="TNT-DOX"/>
      <sheetName val="TNT-WPX"/>
      <sheetName val="Zoning"/>
      <sheetName val="Scenario"/>
      <sheetName val="Start"/>
      <sheetName val="TG-ON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GB-DPD空派VAT不包税"/>
      <sheetName val="BE-UPS空派包税"/>
      <sheetName val="CZ-UPS空派包税-带电"/>
      <sheetName val="BE-UPS空派包税普货-泡货"/>
      <sheetName val="CZ-UPS空派包税-纯电池"/>
      <sheetName val="DE-UPS空派VAT不包税"/>
      <sheetName val="NL-UPS空派VAT不包税"/>
      <sheetName val="Sheet1"/>
      <sheetName val="自有VAT发票模板"/>
      <sheetName val="欧洲海派发票模板"/>
      <sheetName val="TG-ON LINE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StartUp"/>
      <sheetName val="SZX-UPS"/>
      <sheetName val="香港UPS"/>
      <sheetName val="UPS时刻表"/>
      <sheetName val="SZX-KE"/>
      <sheetName val="SZX-B7"/>
      <sheetName val="SZX-CI"/>
      <sheetName val="SZX-OZ"/>
      <sheetName val="SZX-AK"/>
      <sheetName val="SZX-ET"/>
      <sheetName val="SZX-SA"/>
      <sheetName val="SZX-GF"/>
      <sheetName val="SZX-MK"/>
      <sheetName val="SZX-FD"/>
      <sheetName val="SZX-ZH与UPS台北线"/>
      <sheetName val="SZX-HU"/>
      <sheetName val="HU欧美二程信息"/>
      <sheetName val="HU航班时刻表"/>
      <sheetName val="SZX-CA欧"/>
      <sheetName val="SZX-CA美"/>
      <sheetName val="SZX-CA亚洲迪拜"/>
      <sheetName val="SZX-CZ(美,台湾线)"/>
      <sheetName val="SZX-CZ(欧线)"/>
      <sheetName val="SZX-CZ(中亚)"/>
      <sheetName val="CZ航班时刻表"/>
      <sheetName val="MU东航"/>
      <sheetName val="SZX-KU"/>
      <sheetName val="TR虎航"/>
      <sheetName val="深圳机场进出后费用"/>
      <sheetName val="深圳机场进出口须知"/>
      <sheetName val="订单格式"/>
      <sheetName val="深圳提货费"/>
      <sheetName val="Portfolio Discount"/>
      <sheetName val="Goodwill, non-rec.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付款账户"/>
      <sheetName val="运输协议"/>
      <sheetName val="均辉小包报价目录"/>
      <sheetName val="瑞典挂号报价"/>
      <sheetName val="瑞典挂号分区表"/>
      <sheetName val="荷兰挂号分区"/>
      <sheetName val="荷兰平邮价格表"/>
      <sheetName val="广州挂号小包"/>
      <sheetName val="广州平邮小包"/>
      <sheetName val="江苏挂号小包"/>
      <sheetName val="江苏平邮小包"/>
      <sheetName val="中山小包"/>
      <sheetName val="北京小包挂号"/>
      <sheetName val="马邮挂号报价"/>
      <sheetName val="马邮平邮报价"/>
      <sheetName val="马邮分区表"/>
      <sheetName val="深圳挂号小包"/>
      <sheetName val="香港EMS"/>
      <sheetName val="香港挂号小包"/>
      <sheetName val="香港挂号分区"/>
      <sheetName val="香港平邮"/>
      <sheetName val="上门提货须知"/>
      <sheetName val="荷兰挂号报价"/>
      <sheetName val="UPS_Curr"/>
      <sheetName val="目录"/>
      <sheetName val="Customer Info"/>
      <sheetName val="SURCHARGES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荷兰小包"/>
      <sheetName val="荷兰小包_外电14国"/>
      <sheetName val="土耳其小包"/>
      <sheetName val="俄罗斯小包"/>
      <sheetName val="比利时小包纯电"/>
      <sheetName val="台湾小包"/>
      <sheetName val="香港小包平邮"/>
      <sheetName val="中邮小包报价"/>
      <sheetName val="荷兰小包分区"/>
      <sheetName val="香港小包平邮分区"/>
      <sheetName val="E邮宝公布价"/>
      <sheetName val="东莞小包公布价"/>
      <sheetName val="广西小包公布价"/>
      <sheetName val="交接清单"/>
      <sheetName val="赔偿表"/>
      <sheetName val="#REF!"/>
      <sheetName val="Setup"/>
      <sheetName val="EXP EUR D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更新备注"/>
      <sheetName val="Schedule"/>
      <sheetName val="LH汉莎"/>
      <sheetName val="CA欧线"/>
      <sheetName val="CA美线"/>
      <sheetName val="CI华航美线"/>
      <sheetName val="CI华航欧线"/>
      <sheetName val="CI华航亚洲澳洲线"/>
      <sheetName val="BR长荣欧线"/>
      <sheetName val="BR长荣美线"/>
      <sheetName val="B7 亚洲澳洲线"/>
      <sheetName val="KE大韩"/>
      <sheetName val="New card vs old"/>
      <sheetName val="Competitors"/>
      <sheetName val="Customer Code"/>
      <sheetName val="Marketing Code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Summary"/>
      <sheetName val="Shipment Data"/>
      <sheetName val="Pivot"/>
      <sheetName val="Unit Rates"/>
      <sheetName val="Rate Lookup"/>
      <sheetName val="Rate Sheet"/>
      <sheetName val="2004 Rate Lookup"/>
      <sheetName val="2005 Rate Lookup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Main"/>
      <sheetName val="Current Tariff"/>
      <sheetName val="Unit Costs"/>
      <sheetName val="Shipment costs"/>
      <sheetName val="DEF Rate Table"/>
      <sheetName val="Competitors"/>
      <sheetName val="New Tariff"/>
      <sheetName val="OB Contracts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  <sheetName val="Scenario"/>
      <sheetName val="to US Rate"/>
      <sheetName val="FEA to EU Rate"/>
      <sheetName val="FEA to ROE Rate"/>
      <sheetName val="Cost"/>
      <sheetName val="Act"/>
      <sheetName val="Current Costs"/>
      <sheetName val="Current Cost Card $"/>
      <sheetName val="Current Margin card %"/>
      <sheetName val="Graph"/>
      <sheetName val="New Costs"/>
      <sheetName val="New Cost Card $"/>
      <sheetName val="New Margin card %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HK_REVISED"/>
      <sheetName val="Request"/>
      <sheetName val="#REF!"/>
      <sheetName val="Shipments - kg current"/>
      <sheetName val="Shipments - lb current"/>
      <sheetName val="Approved Discts-lb"/>
      <sheetName val="TempVariables"/>
      <sheetName val="Shipments - current"/>
      <sheetName val="Shipments - kg"/>
      <sheetName val="Discounts - kg"/>
      <sheetName val="Shipments - lb"/>
      <sheetName val="Discounts - lb"/>
      <sheetName val="Countries"/>
      <sheetName val="Country List"/>
      <sheetName val="country_list"/>
      <sheetName val="Tariff"/>
      <sheetName val="Tariff_Selection"/>
      <sheetName val="L"/>
      <sheetName val="WB"/>
      <sheetName val="MMM New "/>
      <sheetName val="BASE GRAPHE"/>
      <sheetName val="TG-ON LINE"/>
      <sheetName val="NBA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SPI Re-launch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Summary"/>
      <sheetName val="Shipment Data"/>
      <sheetName val="Pivot"/>
      <sheetName val="Unit Rates"/>
      <sheetName val="Rate Lookup"/>
      <sheetName val="Rate Sheet"/>
      <sheetName val="2004 Rate Lookup"/>
      <sheetName val="2005 Rate Lookup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Portfolio Discount"/>
      <sheetName val="Cover"/>
      <sheetName val="Zone Discount"/>
      <sheetName val="Express Export Net Rates"/>
      <sheetName val="Economy Export Net Rates"/>
      <sheetName val="Express Import Net Rates"/>
      <sheetName val="Economy Import Net Rates"/>
      <sheetName val="Express Export Gross Rates"/>
      <sheetName val="Economy Export Gross Rates"/>
      <sheetName val="Express Import Gross Rates"/>
      <sheetName val="Economy Import Gross Rates"/>
      <sheetName val="Contract Matrix"/>
      <sheetName val="Input Screen"/>
      <sheetName val="WPX"/>
      <sheetName val="DOX"/>
      <sheetName val="IMP"/>
      <sheetName val="DOM"/>
      <sheetName val="Jumbo and Junior"/>
      <sheetName val="Outbound Countries DOX,WPX"/>
      <sheetName val="Origin Countries for IMP"/>
      <sheetName val="Contracts"/>
      <sheetName val="Weight Break Charges"/>
      <sheetName val="Request"/>
      <sheetName val="Shipments - kg current"/>
      <sheetName val="Shipments - lb current"/>
      <sheetName val="Approved Discts-lb"/>
      <sheetName val="TempVariables"/>
      <sheetName val="Shipments - current"/>
      <sheetName val="Shipments - kg"/>
      <sheetName val="Discounts - kg"/>
      <sheetName val="Shipments - lb"/>
      <sheetName val="Discounts - lb"/>
      <sheetName val="Countries"/>
      <sheetName val="DATA"/>
      <sheetName val="RERATE"/>
      <sheetName val="TARIFF"/>
      <sheetName val="LOOKUP"/>
      <sheetName val="Competi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Rate Lookup"/>
      <sheetName val="Rate Sheet"/>
      <sheetName val="Input Screen"/>
      <sheetName val="Rate Card"/>
      <sheetName val="Weightbreak in IBS"/>
      <sheetName val="list of weight break-Peninsula"/>
      <sheetName val="RO PT Proposal"/>
      <sheetName val="list of weight break-S&amp;S"/>
      <sheetName val="Request"/>
      <sheetName val="#REF!"/>
      <sheetName val="Shipments - kg current"/>
      <sheetName val="Shipments - lb current"/>
      <sheetName val="Approved Discts-lb"/>
      <sheetName val="TempVariables"/>
      <sheetName val="Shipments - current"/>
      <sheetName val="Shipments - kg"/>
      <sheetName val="Discounts - kg"/>
      <sheetName val="Shipments - lb"/>
      <sheetName val="Discounts - lb"/>
      <sheetName val="Countries"/>
      <sheetName val="OB600r"/>
      <sheetName val="2006 Zone(OB)"/>
      <sheetName val="#REF"/>
      <sheetName val="EMN KPI's "/>
      <sheetName val="目录"/>
      <sheetName val="TPG Key figures"/>
      <sheetName val="P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报价主页"/>
      <sheetName val="通讯录"/>
      <sheetName val="温馨提示"/>
      <sheetName val="香港DHL代理价"/>
      <sheetName val="香港DHL代理分区表"/>
      <sheetName val="香港DHL澳洲特惠价"/>
      <sheetName val="香港DHL-B价"/>
      <sheetName val="香港DHL-B价分区表"/>
      <sheetName val="香港DHL-C价"/>
      <sheetName val="DHL美加特惠价"/>
      <sheetName val="香港DHL-H价"/>
      <sheetName val="香港DHL-H价分区表"/>
      <sheetName val="香港DHL-K价"/>
      <sheetName val="香港DHL-K价分区表"/>
      <sheetName val="大陆DHL特惠价"/>
      <sheetName val="大陆DHL特惠分区表"/>
      <sheetName val="香港UPS速快 代理价"/>
      <sheetName val="香港UPS速快B价"/>
      <sheetName val="香港UPS美国特惠价"/>
      <sheetName val="香港UPS速快公布价"/>
      <sheetName val="香港UPS红单分区表"/>
      <sheetName val="FEDEX（IP）特快报价"/>
      <sheetName val="香港FEDEX特快报价（IP）分区表"/>
      <sheetName val="香港FEDEX西欧（IP)和（IE)报价"/>
      <sheetName val="香港FEDEX（IE）经济报价"/>
      <sheetName val="香港FEDEX经济报价（IE）分区表"/>
      <sheetName val="Sheet2"/>
      <sheetName val="Sheet8"/>
      <sheetName val="Sheet3"/>
      <sheetName val="POV"/>
      <sheetName val="1.1"/>
      <sheetName val="1.3"/>
      <sheetName val="1.4"/>
      <sheetName val="1.5"/>
      <sheetName val="1.7"/>
      <sheetName val="1.8"/>
      <sheetName val="1.9"/>
      <sheetName val="2.0"/>
      <sheetName val="2.1"/>
      <sheetName val="Sheet5"/>
      <sheetName val="BSheet_by BU"/>
      <sheetName val="zones_input"/>
      <sheetName val="control"/>
      <sheetName val="rates_input"/>
      <sheetName val="Summary"/>
      <sheetName val="Read Me first"/>
      <sheetName val="Contract Approval"/>
      <sheetName val="Account List"/>
      <sheetName val="CSF supplyment"/>
      <sheetName val="Drop list"/>
      <sheetName val="FX06 - FX07 factor"/>
      <sheetName val="Request"/>
      <sheetName val="Shipments - kg current"/>
      <sheetName val="Shipments - lb current"/>
      <sheetName val="Approved Discts-lb"/>
      <sheetName val="TempVariables"/>
      <sheetName val="Shipments - current"/>
      <sheetName val="Shipments - kg"/>
      <sheetName val="Discounts - kg"/>
      <sheetName val="Shipments - lb"/>
      <sheetName val="Discounts - lb"/>
      <sheetName val="Countries"/>
      <sheetName val="RANGE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Competitors"/>
      <sheetName val="New card vs old"/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SGTRM98"/>
      <sheetName val="Contract Rates"/>
      <sheetName val="Contract Rates Schedule"/>
      <sheetName val="Module9"/>
      <sheetName val="Module10"/>
      <sheetName val="Ref"/>
      <sheetName val=" prelimanery BS"/>
      <sheetName val="-&gt; EDV Budget"/>
      <sheetName val="Capital expenditures"/>
      <sheetName val="balance sheet"/>
      <sheetName val="Mail Division"/>
      <sheetName val="Income Statement"/>
      <sheetName val="Tool"/>
      <sheetName val="Goodwill, non-rec."/>
      <sheetName val="Rev in %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Summary"/>
      <sheetName val="Shipment data"/>
      <sheetName val="Unit Rates"/>
      <sheetName val="2004 Rate Lookup"/>
      <sheetName val="2005 Rate Lookup"/>
      <sheetName val="Pivot"/>
      <sheetName val="Summary Import"/>
      <sheetName val="Shipment data import"/>
      <sheetName val="control"/>
      <sheetName val="model_flow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LOOKUP"/>
      <sheetName val="#REF!"/>
      <sheetName val="i zone"/>
      <sheetName val="POV"/>
      <sheetName val="TG-ON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Current IMP"/>
      <sheetName val="Current Costs"/>
      <sheetName val="Current Cost Card"/>
      <sheetName val="Current Margin "/>
      <sheetName val="ISR"/>
      <sheetName val="Zone"/>
      <sheetName val="New IMP"/>
      <sheetName val="New Costs"/>
      <sheetName val="New Cost Card"/>
      <sheetName val="New IMP Margin"/>
      <sheetName val="Competitors"/>
      <sheetName val="Scenario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F3b"/>
      <sheetName val="#REF"/>
      <sheetName val="Zones"/>
      <sheetName val="Current Tariff"/>
      <sheetName val="Current Costs"/>
      <sheetName val="Current Cost Card $"/>
      <sheetName val="Current Margin card %"/>
      <sheetName val="Graph"/>
      <sheetName val="New Tariff"/>
      <sheetName val="New Costs"/>
      <sheetName val="New Cost Card $"/>
      <sheetName val="New Margin card % "/>
      <sheetName val="Competitors"/>
      <sheetName val="New card vs old"/>
      <sheetName val="Contract Rates"/>
      <sheetName val="Contract Rates Schedule"/>
      <sheetName val="TRM MODEL"/>
      <sheetName val="CHT EBIT BUD WKLY"/>
      <sheetName val="Summary"/>
      <sheetName val="Printed material"/>
      <sheetName val="Code"/>
      <sheetName val="TG-ON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Competitors"/>
      <sheetName val="#REF!"/>
      <sheetName val="SZ.UPS区域表(区域排序)"/>
      <sheetName val="SZ.UPS华南内部价（暂不公布）"/>
      <sheetName val="Summary"/>
      <sheetName val="Zones"/>
      <sheetName val="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Competitors"/>
      <sheetName val="Current Tariff"/>
      <sheetName val="Current Costs"/>
      <sheetName val="Current Cost Card $"/>
      <sheetName val="Current Margin card %"/>
      <sheetName val="Graph"/>
      <sheetName val="Zones"/>
      <sheetName val="New Tariff"/>
      <sheetName val="New Costs"/>
      <sheetName val="New Cost Card $"/>
      <sheetName val="New Margin card % "/>
      <sheetName val="New card vs old"/>
      <sheetName val="Contract Rates"/>
      <sheetName val="Contract Rates Schedule"/>
      <sheetName val="Discount"/>
      <sheetName val="New Margin card %"/>
      <sheetName val="Module1"/>
      <sheetName val="Module2"/>
      <sheetName val="Module3"/>
      <sheetName val="Module4"/>
      <sheetName val="Module5"/>
      <sheetName val="Sheet1"/>
      <sheetName val="Sheet2"/>
      <sheetName val="Sheet3"/>
      <sheetName val="Unit Costs"/>
      <sheetName val="Shipment costs"/>
      <sheetName val="Jumbo"/>
      <sheetName val="Rainbow"/>
      <sheetName val="BASE GRAPHE"/>
      <sheetName val="04_09 Sum tot"/>
      <sheetName val="ENV BU"/>
      <sheetName val="TEST"/>
      <sheetName val="IE"/>
      <sheetName val="#REF!"/>
      <sheetName val="Current IMP"/>
      <sheetName val="zones_input"/>
      <sheetName val="control"/>
      <sheetName val="rates_input"/>
      <sheetName val="ME uninvoiced cons"/>
      <sheetName val="Scenar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TransferAcquisitionsNonOperatio"/>
      <sheetName val="#REF"/>
      <sheetName val="Pov"/>
      <sheetName val="Control"/>
      <sheetName val="Extract"/>
      <sheetName val="Extract text fields"/>
      <sheetName val="IC"/>
      <sheetName val="WACC"/>
      <sheetName val="Pov Template"/>
      <sheetName val="Pov Category"/>
      <sheetName val="Pov Period"/>
      <sheetName val="Pov Entity"/>
      <sheetName val="Check Accounts"/>
      <sheetName val="PAG_2A"/>
      <sheetName val="PAG_2AIC"/>
      <sheetName val="PAG_3A"/>
      <sheetName val="PAG_4A"/>
      <sheetName val="PAG_4B"/>
      <sheetName val="PAG_5A"/>
      <sheetName val="PAG_5C"/>
      <sheetName val="PAG_5D"/>
      <sheetName val="PAG_5E"/>
      <sheetName val="PAG_5B"/>
      <sheetName val="PAG_7"/>
      <sheetName val="PAG_7A"/>
      <sheetName val="PAG_8A"/>
      <sheetName val="PAG_8"/>
      <sheetName val="PAG_10"/>
      <sheetName val="PAG_11"/>
      <sheetName val="PAG_13A"/>
      <sheetName val="PAG_14"/>
      <sheetName val="PAG_15"/>
      <sheetName val="PAG_16"/>
      <sheetName val="PAG_17A"/>
      <sheetName val="PAG_17B"/>
      <sheetName val="PAG_18"/>
      <sheetName val="PAG_19"/>
      <sheetName val="PAG_19A"/>
      <sheetName val="PAG_20"/>
      <sheetName val="PAG_20A"/>
      <sheetName val="PAG_21"/>
      <sheetName val="PAG_22"/>
      <sheetName val="PAG_22A"/>
      <sheetName val="PAG_23"/>
      <sheetName val="PAG_23A"/>
      <sheetName val="PAG_24"/>
      <sheetName val="PAG_25"/>
      <sheetName val="PAG_26"/>
      <sheetName val="PAG_27"/>
      <sheetName val="PAG_28"/>
      <sheetName val="PAG_29"/>
      <sheetName val="PAG_30"/>
      <sheetName val="PAG_30A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PAG_41"/>
      <sheetName val="PAG_42"/>
      <sheetName val="PAG_42A"/>
      <sheetName val="PAG_43"/>
      <sheetName val="PAG_44"/>
      <sheetName val="Competitors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F2"/>
      <sheetName val="Cover"/>
      <sheetName val="Content"/>
      <sheetName val="Sum"/>
      <sheetName val="F0"/>
      <sheetName val="F1"/>
      <sheetName val="F3"/>
      <sheetName val="F4"/>
      <sheetName val="F5"/>
      <sheetName val="F6"/>
      <sheetName val="F7"/>
      <sheetName val="F8"/>
      <sheetName val="F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F22"/>
      <sheetName val="Negative bridge"/>
      <sheetName val="F9a"/>
      <sheetName val="F9b"/>
      <sheetName val="F9c"/>
      <sheetName val="Competitors"/>
      <sheetName val="#REF!"/>
      <sheetName val="New card vs old"/>
      <sheetName val="Sheet4"/>
      <sheetName val="TG-ON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Country List"/>
      <sheetName val="country_list"/>
      <sheetName val="Tariff"/>
      <sheetName val="Tariff_Selection"/>
      <sheetName val="L"/>
      <sheetName val="WB"/>
      <sheetName val="MMM New "/>
      <sheetName val="Request"/>
      <sheetName val="Shipments - kg current"/>
      <sheetName val="Shipments - lb current"/>
      <sheetName val="Approved Discts-lb"/>
      <sheetName val="Discounts - lb"/>
      <sheetName val="TempVariables"/>
      <sheetName val="Shipments - current"/>
      <sheetName val="Shipments - kg"/>
      <sheetName val="Discounts - kg"/>
      <sheetName val="Shipments - lb"/>
      <sheetName val="Countries"/>
      <sheetName val="Competitors"/>
      <sheetName val="Current IMP"/>
      <sheetName val="MEN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TNT SUM WKT"/>
      <sheetName val="TNT SUM WKT JSD"/>
      <sheetName val="EXP SUM EUR WKT"/>
      <sheetName val="EXP SUM EUR WKT JSD"/>
      <sheetName val="EXP EUR DIS"/>
      <sheetName val="EXP BBX DIS"/>
      <sheetName val="EXP BFR DIS"/>
      <sheetName val="EXP BFR DIS b"/>
      <sheetName val="EXP BDE DIS"/>
      <sheetName val="EXP BIE DIS"/>
      <sheetName val="EXP BIT DIS"/>
      <sheetName val="EXP BUK DIS"/>
      <sheetName val="Rev Growth"/>
      <sheetName val="EBIT Var"/>
      <sheetName val="EBIT-REV BUD LY"/>
      <sheetName val="EBIT-REV LY LY"/>
      <sheetName val="TPG SUM WKT GRAPH TPG"/>
      <sheetName val="TPG SUM WKT GRAPH TPG JSD"/>
      <sheetName val="TPG INT DOM WKT GRAPH EXPR"/>
      <sheetName val="EXP EUR VAR GPH REV JSD"/>
      <sheetName val="EXP EUR VAR GPH EBIT"/>
      <sheetName val="EXP DE-NVS DIS"/>
      <sheetName val="EXP BJSD DIS "/>
      <sheetName val="EBIT DOM INT BUD"/>
      <sheetName val="EBIT DOM INT LY"/>
      <sheetName val="EBIT-REV"/>
      <sheetName val="slides_MXS_wk22 vs 1.3"/>
      <sheetName val="Customer Info"/>
      <sheetName val="SURCHARGES"/>
      <sheetName val="Pov"/>
      <sheetName val="#REF!"/>
      <sheetName val="list"/>
      <sheetName val="TG-ON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Names"/>
      <sheetName val="MacroSheet"/>
      <sheetName val="Total - Balance"/>
      <sheetName val="Per Entity - Balance"/>
      <sheetName val="Total - P&amp;L"/>
      <sheetName val="Per Entity - P&amp;L"/>
      <sheetName val="ICData"/>
      <sheetName val="TPG Key figures"/>
      <sheetName val="Setup"/>
      <sheetName val="EXP EUR DIS"/>
      <sheetName val="Sheet4"/>
      <sheetName val="Competitors"/>
      <sheetName val="Portfolio Discou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HKDHL-Y纯电池价"/>
      <sheetName val="香港DHL代理"/>
      <sheetName val="大陆DHL-A"/>
      <sheetName val="香港DHL-B"/>
      <sheetName val="香港DHL-C"/>
      <sheetName val="香港DHL-D"/>
      <sheetName val="广州DHL特惠E"/>
      <sheetName val="香港DHL-F"/>
      <sheetName val="广州DHL-G"/>
      <sheetName val="香港DHL-H"/>
      <sheetName val="香港DHL-I"/>
      <sheetName val="香港DHL-J"/>
      <sheetName val="SZDHL-K"/>
      <sheetName val="香港DHL-L"/>
      <sheetName val="香港DHL-P"/>
      <sheetName val="MYDHL-S"/>
      <sheetName val="DHL-DOC"/>
      <sheetName val="大陆DHL代理"/>
      <sheetName val="香港UPS代理"/>
      <sheetName val="香港UPS材积6000"/>
      <sheetName val="香港UPS-A蓝单"/>
      <sheetName val="香港UPS红单-B"/>
      <sheetName val="香港UPS-C促销"/>
      <sheetName val="深圳TNT-C中东特惠"/>
      <sheetName val="香港UPS-F"/>
      <sheetName val="香港UPS-G"/>
      <sheetName val="香港UPS-I"/>
      <sheetName val="香港FIE-C"/>
      <sheetName val="广州TNT-E伊朗专线"/>
      <sheetName val="广州TNT敏感"/>
      <sheetName val="HKTNT-D纯电池"/>
      <sheetName val="SZFIEB"/>
      <sheetName val="广州TNT-B"/>
      <sheetName val="深圳红单TNT全球特快价A"/>
      <sheetName val="UPS速快公布价"/>
      <sheetName val="香港UPS分区表"/>
      <sheetName val="大陆DHL-A分区"/>
      <sheetName val="MYDHL-S分区"/>
      <sheetName val="HKTNT-D纯电池分区"/>
      <sheetName val="香港DHL-L分区表"/>
      <sheetName val="香港DHL-Y电池价分区"/>
      <sheetName val="广州DHL特惠E分区表"/>
      <sheetName val="DHL-DOC分区"/>
      <sheetName val="大陆DHL代理分区表"/>
      <sheetName val="香港DHL-J分区"/>
      <sheetName val="香港DHL分区表"/>
      <sheetName val="深圳FIE-B分区"/>
      <sheetName val="深圳TNT最新分区表"/>
      <sheetName val="DHL-SZ-CXA"/>
      <sheetName val="SZFIP"/>
      <sheetName val="SZFIEA"/>
      <sheetName val="香港联邦特价IE"/>
      <sheetName val="DHL-SZ-CXA分区表"/>
      <sheetName val="分区"/>
      <sheetName val="#REF!"/>
      <sheetName val="RANGE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Input Screen"/>
      <sheetName val="DOX"/>
      <sheetName val="WPX"/>
      <sheetName val="DOM"/>
      <sheetName val="DOX_ZONES"/>
      <sheetName val="WPX_ ZONES"/>
      <sheetName val="Weight Break Charges"/>
      <sheetName val="Contracts"/>
      <sheetName val="Pricing Policy"/>
      <sheetName val="WPX (USD)"/>
      <sheetName val="DOX (USD)"/>
      <sheetName val="DOM (USD)"/>
      <sheetName val="Weight Break Charges (USD)"/>
      <sheetName val="Contract Matrix"/>
      <sheetName val="Sheet1"/>
      <sheetName val="L"/>
      <sheetName val="Approved Discts-lb"/>
      <sheetName val="EB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国家二字码"/>
      <sheetName val="Setup"/>
      <sheetName val="LOOKUP"/>
      <sheetName val="CHT EBIT BUD WK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Tarieven"/>
      <sheetName val="Discount"/>
      <sheetName val="cover_sheet"/>
      <sheetName val="Tariffs Export"/>
      <sheetName val="Tariffs Import"/>
      <sheetName val="country_mapping"/>
      <sheetName val="Tariffs TDD Export"/>
      <sheetName val="Tariffs TDD Import"/>
      <sheetName val="country_mapping TDD"/>
      <sheetName val="Printout"/>
      <sheetName val="REFERENTIE"/>
      <sheetName val="Competitors"/>
      <sheetName val="Names"/>
      <sheetName val="POV"/>
      <sheetName val="YIELD Eu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Discount_Authority_Matrix"/>
      <sheetName val="Discounts"/>
      <sheetName val="Sheet1"/>
      <sheetName val="RCprices"/>
      <sheetName val="Competitor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"/>
      <sheetName val="WEIGHTBREAKS"/>
      <sheetName val="ZONE_EXTRACT"/>
      <sheetName val="RANGELOOKUP"/>
      <sheetName val="Product Descriptions"/>
      <sheetName val="IE Europack DOM"/>
      <sheetName val="IE Europlus DOM"/>
      <sheetName val="IE Europlus INT"/>
      <sheetName val="IE Europack INT"/>
      <sheetName val="INT Zoning"/>
      <sheetName val="Request"/>
      <sheetName val="POV"/>
      <sheetName val="中速经济T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LISTE"/>
      <sheetName val="Raten"/>
      <sheetName val="RatenStruktur Brutto fuer DSU"/>
      <sheetName val="RatenStruktur Brutto fuer TDX"/>
      <sheetName val="Domestic"/>
      <sheetName val="RateCards"/>
      <sheetName val="Kontrollblatt"/>
      <sheetName val="国家二字码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database"/>
      <sheetName val="wpx"/>
      <sheetName val="dox"/>
      <sheetName val="ecx"/>
      <sheetName val="exposure"/>
      <sheetName val="old tariff"/>
      <sheetName val="new tariff"/>
      <sheetName val="full tariffs"/>
      <sheetName val="graphs"/>
      <sheetName val="map"/>
      <sheetName val="input sheet"/>
      <sheetName val="Sheet11"/>
      <sheetName val="Module1"/>
      <sheetName val="Module2"/>
      <sheetName val="Raten"/>
      <sheetName val="目录"/>
      <sheetName val="Code"/>
      <sheetName val="TG-ON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Competition info"/>
      <sheetName val="copy of compnetrates"/>
      <sheetName val="Competition info (2)"/>
      <sheetName val="UPS_Curr (2)"/>
      <sheetName val="TG-ON LINE"/>
      <sheetName val="RateCards"/>
      <sheetName val="Kontrollblatt"/>
      <sheetName val="KE大韩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Flowchart"/>
      <sheetName val="In-country Dis Guideline"/>
      <sheetName val="Sheet2"/>
      <sheetName val="Sheet3"/>
      <sheetName val="Sheet4"/>
      <sheetName val="NBA 1"/>
      <sheetName val="NBA 2"/>
      <sheetName val="CRF"/>
      <sheetName val="Weekly Bid Processed Report"/>
      <sheetName val="TG-ON LINE"/>
      <sheetName val="Competitors"/>
      <sheetName val="目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UPS_Curr"/>
      <sheetName val="UPS Cost"/>
      <sheetName val="Comp1"/>
      <sheetName val="Comp2"/>
      <sheetName val="Comp3"/>
      <sheetName val="comp4"/>
      <sheetName val="Analysis"/>
      <sheetName val="Multi Box"/>
      <sheetName val="s-2"/>
      <sheetName val="Check"/>
      <sheetName val="1"/>
      <sheetName val="2"/>
      <sheetName val="3"/>
      <sheetName val="4"/>
      <sheetName val="5"/>
      <sheetName val="6"/>
      <sheetName val="7"/>
      <sheetName val="8"/>
      <sheetName val="9"/>
      <sheetName val="11"/>
      <sheetName val="12"/>
      <sheetName val="13"/>
      <sheetName val="10"/>
      <sheetName val="data"/>
      <sheetName val="UPS_Proposed"/>
      <sheetName val="目录"/>
      <sheetName val="Min&amp;Inc"/>
      <sheetName val="TG-ON LINE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UPS Curr"/>
      <sheetName val="UPS Cost"/>
      <sheetName val="Comp1"/>
      <sheetName val="Comp2"/>
      <sheetName val="comp3"/>
      <sheetName val="Check"/>
      <sheetName val="Multi Box 10"/>
      <sheetName val="Multi Box 25"/>
      <sheetName val="Analysis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0.1"/>
      <sheetName val="10.2"/>
      <sheetName val="data"/>
      <sheetName val="TH Proposal"/>
      <sheetName val="Competitors"/>
      <sheetName val="Zones"/>
      <sheetName val="Portfolio Discount"/>
      <sheetName val="目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XL4Poppy"/>
      <sheetName val="Sheet2"/>
      <sheetName val="tg-on line"/>
      <sheetName val="Competitors"/>
      <sheetName val="UPS_Curr"/>
      <sheetName val="均辉小包报价目录"/>
      <sheetName val="目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荷兰小包"/>
      <sheetName val="荷兰小包_外电14国"/>
      <sheetName val="土耳其小包"/>
      <sheetName val="俄罗斯小包"/>
      <sheetName val="比利时小包纯电"/>
      <sheetName val="台湾小包"/>
      <sheetName val="香港小包平邮"/>
      <sheetName val="中邮小包报价"/>
      <sheetName val="荷兰小包分区"/>
      <sheetName val="香港小包平邮分区"/>
      <sheetName val="E邮宝公布价"/>
      <sheetName val="东莞小包公布价"/>
      <sheetName val="广西小包公布价"/>
      <sheetName val="交接清单"/>
      <sheetName val="赔偿表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Summary"/>
      <sheetName val="Shipment Data"/>
      <sheetName val="Pivot"/>
      <sheetName val="Unit Rates"/>
      <sheetName val="Rate Lookup"/>
      <sheetName val="Rate Sheet"/>
      <sheetName val="DATA"/>
      <sheetName val="RERATE"/>
      <sheetName val="TARIFF"/>
      <sheetName val="LOOKUP"/>
      <sheetName val="Instructions"/>
      <sheetName val="Request"/>
      <sheetName val="Shipments - lb"/>
      <sheetName val="Shipments - kg"/>
      <sheetName val="Discounts - lb"/>
      <sheetName val="Discounts - kg"/>
      <sheetName val="Shipments - lb current"/>
      <sheetName val="Shipments - lb total"/>
      <sheetName val="Approved Discts-lb"/>
      <sheetName val="Shipments - kg current"/>
      <sheetName val="Shipments - kg total"/>
      <sheetName val="Approved Discts-kg"/>
      <sheetName val="Countries"/>
      <sheetName val="TempVariables"/>
      <sheetName val="Shipments - current"/>
      <sheetName val="Main"/>
      <sheetName val="Current Tariff"/>
      <sheetName val="Unit Costs"/>
      <sheetName val="Shipment costs"/>
      <sheetName val="DEF Rate Table"/>
      <sheetName val="Competitors"/>
      <sheetName val="New Tariff"/>
      <sheetName val="OB Contracts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  <sheetName val="Customer Info"/>
      <sheetName val="Next Day Comm Chart"/>
      <sheetName val="Next Day Resi Chart"/>
      <sheetName val="Saver Comm Chart"/>
      <sheetName val="Saver Resi Chart"/>
      <sheetName val="2nd Day AM Comm Chart"/>
      <sheetName val="2nd Day AM Resi Chart"/>
      <sheetName val="2nd Day Comm Chart"/>
      <sheetName val="2nd Day Resi Chart"/>
      <sheetName val="3 Day Select Comm Chart"/>
      <sheetName val="3 Day Select Resi Chart"/>
      <sheetName val="Ground Comm Chart"/>
      <sheetName val="Ground Resi Chart"/>
      <sheetName val="Ground CWT Chart"/>
      <sheetName val="SURCHARGES"/>
      <sheetName val="Ground CWT List"/>
      <sheetName val="1DA List Rates"/>
      <sheetName val="Saver List Rates"/>
      <sheetName val="2DA AM List Rates"/>
      <sheetName val="2DA List Rates"/>
      <sheetName val="3DS List Rates"/>
      <sheetName val="Ground Comm List Rates"/>
      <sheetName val="Ground Resi List Rates"/>
      <sheetName val="2004 Rate Lookup"/>
      <sheetName val="2005 Rate Lookup"/>
      <sheetName val="Summary Import"/>
      <sheetName val="Shipment data import"/>
      <sheetName val="TRM Menus"/>
      <sheetName val="MultConvert"/>
      <sheetName val="ReadyRate"/>
      <sheetName val="Sheet2"/>
      <sheetName val="Rates1015"/>
      <sheetName val="HWAdders_DOX"/>
      <sheetName val="HWAdders_WPX"/>
      <sheetName val="Discount Sum"/>
      <sheetName val="Contract Rates"/>
      <sheetName val="Contract Rates Schedule"/>
      <sheetName val="Discount"/>
      <sheetName val="#REF!"/>
      <sheetName val="Current IMP"/>
      <sheetName val="Current Costs"/>
      <sheetName val="Current Cost Card"/>
      <sheetName val="Current Margin "/>
      <sheetName val="ISR"/>
      <sheetName val="Zone"/>
      <sheetName val="New IMP"/>
      <sheetName val="New Costs"/>
      <sheetName val="New Cost Card"/>
      <sheetName val="New IMP Margin"/>
      <sheetName val="目录"/>
      <sheetName val="EB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Summary"/>
      <sheetName val="Shipment Data"/>
      <sheetName val="Pivot"/>
      <sheetName val="Unit Rates"/>
      <sheetName val="Rate Lookup"/>
      <sheetName val="Rate Sheet"/>
      <sheetName val="2004 Rate Lookup"/>
      <sheetName val="2005 Rate Lookup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Main"/>
      <sheetName val="Current Tariff"/>
      <sheetName val="Unit Costs"/>
      <sheetName val="Shipment costs"/>
      <sheetName val="DEF Rate Table"/>
      <sheetName val="Competitors"/>
      <sheetName val="New Tariff"/>
      <sheetName val="OB Contracts"/>
      <sheetName val="Full Tariff Shipments"/>
      <sheetName val="Revenue Impact Details"/>
      <sheetName val="New card vs old"/>
      <sheetName val="Jumbo"/>
      <sheetName val="Proposed IB Tariff"/>
      <sheetName val="Rainbow"/>
      <sheetName val="Inbound ISRs"/>
      <sheetName val="OB Zone List"/>
      <sheetName val="Scenario"/>
      <sheetName val="to US Rate"/>
      <sheetName val="FEA to EU Rate"/>
      <sheetName val="FEA to ROE Rate"/>
      <sheetName val="Cost"/>
      <sheetName val="Act"/>
      <sheetName val="Current Costs"/>
      <sheetName val="Current Cost Card $"/>
      <sheetName val="Current Margin card %"/>
      <sheetName val="Graph"/>
      <sheetName val="New Costs"/>
      <sheetName val="New Cost Card $"/>
      <sheetName val="New Margin card %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HK_REVISED"/>
      <sheetName val="Request"/>
      <sheetName val="#REF!"/>
      <sheetName val="Shipments - kg current"/>
      <sheetName val="Shipments - lb current"/>
      <sheetName val="Approved Discts-lb"/>
      <sheetName val="TempVariables"/>
      <sheetName val="Shipments - current"/>
      <sheetName val="Shipments - kg"/>
      <sheetName val="Discounts - kg"/>
      <sheetName val="Shipments - lb"/>
      <sheetName val="Discounts - lb"/>
      <sheetName val="Countries"/>
      <sheetName val="Country List"/>
      <sheetName val="country_list"/>
      <sheetName val="Tariff"/>
      <sheetName val="Tariff_Selection"/>
      <sheetName val="L"/>
      <sheetName val="WB"/>
      <sheetName val="MMM New "/>
      <sheetName val="BASE GRAPHE"/>
      <sheetName val="TG-ON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#REF!"/>
      <sheetName val="SPI Re-launch"/>
      <sheetName val="map"/>
      <sheetName val="Checking"/>
      <sheetName val="EXPT IP BCP % U"/>
      <sheetName val="EXPT IE BCP % U"/>
      <sheetName val="IP EXPT 0638"/>
      <sheetName val="IE EXPT 0638"/>
      <sheetName val="2013 IP"/>
      <sheetName val="2013 IE"/>
      <sheetName val="2013 IP平台销售价"/>
      <sheetName val="2013 IE平台销售价"/>
      <sheetName val="IE Zone"/>
      <sheetName val="IP Zone"/>
      <sheetName val="Band Discount Matrix"/>
      <sheetName val="IMPT IP BCP %"/>
      <sheetName val="IMPT IE BCP %"/>
      <sheetName val="IP IMPT 001D"/>
      <sheetName val="IE IMPT 001D"/>
      <sheetName val="Default Pricing"/>
      <sheetName val="Default Billing Flag"/>
      <sheetName val="Expt Zone Pricing"/>
      <sheetName val="Impt Zone Pricing"/>
      <sheetName val="G3P Zone Pricing"/>
      <sheetName val="Billing Flag By Zone"/>
      <sheetName val="Account Summary"/>
      <sheetName val="Clone Global"/>
      <sheetName val="EXPT BD"/>
      <sheetName val="Expt Disc prepaid"/>
      <sheetName val="Impt Disc 638"/>
      <sheetName val="IMPT BD"/>
      <sheetName val="header"/>
      <sheetName val="G3P_Disc"/>
      <sheetName val="G3P_IP_IE_Rationality"/>
      <sheetName val="G3P_IPF_IEF_Rationality"/>
      <sheetName val="Impt G3P"/>
      <sheetName val="IMPT Rationality Check 638"/>
      <sheetName val="EXPT Rationality Check prepaid"/>
      <sheetName val="Discounts"/>
      <sheetName val="Express Export Ratesheet"/>
      <sheetName val="Economy Export Ratesheet"/>
      <sheetName val="Express Import Ratesheet"/>
      <sheetName val="Economy Import Ratesheet"/>
      <sheetName val="destinations and services"/>
      <sheetName val="Canada 1- Zipcodes"/>
      <sheetName val="Summary"/>
      <sheetName val="Shipment Data"/>
      <sheetName val="Pivot"/>
      <sheetName val="Unit Rates"/>
      <sheetName val="Rate Lookup"/>
      <sheetName val="Rate Sheet"/>
      <sheetName val="2004 Rate Lookup"/>
      <sheetName val="2005 Rate Lookup"/>
      <sheetName val="Summary Import"/>
      <sheetName val="Shipment data import"/>
      <sheetName val="control"/>
      <sheetName val="model_flows"/>
      <sheetName val="zones"/>
      <sheetName val="rates_input"/>
      <sheetName val="zones_input"/>
      <sheetName val="rates"/>
      <sheetName val="rs-cover1"/>
      <sheetName val="rs-cover2"/>
      <sheetName val="rs-cover3"/>
      <sheetName val="rs-cover4"/>
      <sheetName val="rs-cover5"/>
      <sheetName val="rs-express"/>
      <sheetName val="rs-express imports"/>
      <sheetName val="rs-economy express"/>
      <sheetName val="rs-economy express imports"/>
      <sheetName val="rs-destination table"/>
      <sheetName val="rs-additional information"/>
      <sheetName val="pr"/>
      <sheetName val="to"/>
      <sheetName val="sa"/>
      <sheetName val="di"/>
      <sheetName val="in"/>
      <sheetName val="fsi"/>
      <sheetName val="mpc"/>
      <sheetName val="ooa"/>
      <sheetName val="res"/>
      <sheetName val="gm"/>
      <sheetName val="itl"/>
      <sheetName val="sc"/>
      <sheetName val="vo"/>
      <sheetName val="ccf"/>
      <sheetName val="AR@Rating Setup"/>
      <sheetName val="ARI@RATES"/>
      <sheetName val="ARE@RATES"/>
      <sheetName val="Sheet1"/>
      <sheetName val="Portfolio Discount"/>
      <sheetName val="Cover"/>
      <sheetName val="Zone Discount"/>
      <sheetName val="Express Export Net Rates"/>
      <sheetName val="Economy Export Net Rates"/>
      <sheetName val="Express Import Net Rates"/>
      <sheetName val="Economy Import Net Rates"/>
      <sheetName val="Express Export Gross Rates"/>
      <sheetName val="Economy Export Gross Rates"/>
      <sheetName val="Express Import Gross Rates"/>
      <sheetName val="Economy Import Gross Rates"/>
      <sheetName val="Contract Matrix"/>
      <sheetName val="Input Screen"/>
      <sheetName val="WPX"/>
      <sheetName val="DOX"/>
      <sheetName val="IMP"/>
      <sheetName val="DOM"/>
      <sheetName val="Jumbo and Junior"/>
      <sheetName val="Outbound Countries DOX,WPX"/>
      <sheetName val="Origin Countries for IMP"/>
      <sheetName val="Contracts"/>
      <sheetName val="Weight Break Charges"/>
      <sheetName val="Request"/>
      <sheetName val="Shipments - kg current"/>
      <sheetName val="Shipments - lb current"/>
      <sheetName val="Approved Discts-lb"/>
      <sheetName val="TempVariables"/>
      <sheetName val="Shipments - current"/>
      <sheetName val="Shipments - kg"/>
      <sheetName val="Discounts - kg"/>
      <sheetName val="Shipments - lb"/>
      <sheetName val="Discounts - lb"/>
      <sheetName val="Countries"/>
      <sheetName val="DATA"/>
      <sheetName val="RERATE"/>
      <sheetName val="TARIFF"/>
      <sheetName val="LOOKUP"/>
      <sheetName val="Competi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LISTE"/>
      <sheetName val="Raten"/>
      <sheetName val="RatenStruktur Brutto fuer DSU"/>
      <sheetName val="RatenStruktur Brutto fuer TDX"/>
      <sheetName val="Domestic"/>
      <sheetName val="RateCards"/>
      <sheetName val="Kontrollblatt"/>
      <sheetName val="国家二字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database"/>
      <sheetName val="wpx"/>
      <sheetName val="dox"/>
      <sheetName val="ecx"/>
      <sheetName val="exposure"/>
      <sheetName val="old tariff"/>
      <sheetName val="new tariff"/>
      <sheetName val="full tariffs"/>
      <sheetName val="graphs"/>
      <sheetName val="map"/>
      <sheetName val="input sheet"/>
      <sheetName val="Sheet11"/>
      <sheetName val="Module1"/>
      <sheetName val="Module2"/>
      <sheetName val="Raten"/>
      <sheetName val="目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Competition info"/>
      <sheetName val="copy of compnetrates"/>
      <sheetName val="Competition info (2)"/>
      <sheetName val="UPS_Curr (2)"/>
      <sheetName val="TG-ON LINE"/>
      <sheetName val="RateCards"/>
      <sheetName val="Kontrollbla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UPS Curr"/>
      <sheetName val="UPS Cost"/>
      <sheetName val="UPS Xpr"/>
      <sheetName val="Comp2"/>
      <sheetName val="Check"/>
      <sheetName val="Analysis"/>
      <sheetName val="Multi Box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V4"/>
      <sheetName val="V5"/>
      <sheetName val="V6"/>
      <sheetName val="11"/>
      <sheetName val="12"/>
      <sheetName val="13"/>
      <sheetName val="14"/>
      <sheetName val="15"/>
      <sheetName val="V7"/>
      <sheetName val="V8"/>
      <sheetName val="% Vol"/>
      <sheetName val="data"/>
      <sheetName val="TH"/>
      <sheetName val="Customer Code"/>
      <sheetName val="Marketing Code"/>
      <sheetName val="Rat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2"/>
  <sheetViews>
    <sheetView zoomScale="82" zoomScaleNormal="82" workbookViewId="0">
      <pane xSplit="1" ySplit="1" topLeftCell="AG2" activePane="bottomRight" state="frozen"/>
      <selection/>
      <selection pane="topRight"/>
      <selection pane="bottomLeft"/>
      <selection pane="bottomRight" activeCell="AA2" sqref="AA2"/>
    </sheetView>
  </sheetViews>
  <sheetFormatPr defaultColWidth="9.23214285714286" defaultRowHeight="16.8"/>
  <cols>
    <col min="1" max="1" width="54.8571428571429" style="20" customWidth="1"/>
    <col min="2" max="2" width="24.5357142857143" style="20" customWidth="1"/>
    <col min="3" max="3" width="20.2142857142857" style="20" customWidth="1"/>
    <col min="4" max="4" width="5.57142857142857" style="20" customWidth="1"/>
    <col min="5" max="5" width="15.7142857142857" style="20" customWidth="1"/>
    <col min="6" max="6" width="9.23214285714286" style="21"/>
    <col min="7" max="7" width="9.23214285714286" style="20"/>
    <col min="8" max="8" width="9.64285714285714" style="20"/>
    <col min="9" max="9" width="9.23214285714286" style="20"/>
    <col min="10" max="10" width="9.64285714285714" style="20"/>
    <col min="11" max="12" width="11.3660714285714" style="20" customWidth="1"/>
    <col min="13" max="14" width="9.64285714285714" style="20"/>
    <col min="15" max="15" width="9.23214285714286" style="20" customWidth="1"/>
    <col min="16" max="16" width="11.6964285714286" style="20" customWidth="1"/>
    <col min="17" max="21" width="9.23214285714286" style="21"/>
    <col min="22" max="22" width="11.6428571428571" style="21"/>
    <col min="23" max="23" width="9.23214285714286" style="21"/>
    <col min="24" max="24" width="18" style="21" customWidth="1"/>
    <col min="25" max="25" width="58.6160714285714" style="21" customWidth="1"/>
    <col min="26" max="26" width="114.071428571429" style="21" customWidth="1"/>
    <col min="27" max="27" width="11.7142857142857" style="21" customWidth="1"/>
    <col min="28" max="16384" width="9.23214285714286" style="21"/>
  </cols>
  <sheetData>
    <row r="1" spans="1:3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G1" s="20" t="s">
        <v>5</v>
      </c>
      <c r="H1" s="20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R1" s="24" t="s">
        <v>15</v>
      </c>
      <c r="S1" s="24" t="s">
        <v>16</v>
      </c>
      <c r="T1" s="24" t="s">
        <v>17</v>
      </c>
      <c r="U1" s="21" t="s">
        <v>18</v>
      </c>
      <c r="V1" s="21" t="s">
        <v>19</v>
      </c>
      <c r="W1" s="21" t="s">
        <v>20</v>
      </c>
      <c r="X1" s="21" t="s">
        <v>21</v>
      </c>
      <c r="Y1" s="21" t="s">
        <v>22</v>
      </c>
      <c r="Z1" s="21" t="s">
        <v>23</v>
      </c>
      <c r="AA1" s="21" t="s">
        <v>24</v>
      </c>
      <c r="AB1" s="25" t="s">
        <v>25</v>
      </c>
      <c r="AC1" s="25" t="s">
        <v>26</v>
      </c>
      <c r="AD1" s="21" t="s">
        <v>27</v>
      </c>
      <c r="AE1" s="21" t="s">
        <v>28</v>
      </c>
      <c r="AF1" s="21" t="s">
        <v>29</v>
      </c>
      <c r="AG1" s="21" t="s">
        <v>30</v>
      </c>
    </row>
    <row r="2" spans="1:33">
      <c r="A2" s="24"/>
      <c r="B2" s="24"/>
      <c r="C2" s="24"/>
      <c r="D2" s="24"/>
      <c r="E2" s="24"/>
      <c r="G2" s="20" t="str" cm="1">
        <f t="array" ref="G2">IFERROR(INDEX(商品管理!J:J,MATCH(B2,商品管理!A:A,0)),"")</f>
        <v/>
      </c>
      <c r="H2" s="20" t="e" cm="1">
        <f t="array" ref="H2">D2*G2+IFERROR(VALUE(INDEX(#REF!,MATCH(B2,#REF!,0))),0)</f>
        <v>#VALUE!</v>
      </c>
      <c r="I2" s="20" t="str" cm="1">
        <f t="array" ref="I2">IFERROR(INDEX(商品管理!K:K,MATCH(B2,商品管理!A:A,0)),"")</f>
        <v/>
      </c>
      <c r="J2" s="20" t="e">
        <f>H2*I2</f>
        <v>#VALUE!</v>
      </c>
      <c r="K2" s="20" t="str" cm="1">
        <f t="array" ref="K2">IFERROR(INDEX(商品管理!L:L,MATCH(B2,商品管理!A:A,0)),"")</f>
        <v/>
      </c>
      <c r="L2" s="20">
        <v>1.5</v>
      </c>
      <c r="M2" s="20" t="e">
        <f>I2*G2+L2+G2*K2</f>
        <v>#VALUE!</v>
      </c>
      <c r="N2" s="20" t="e">
        <f>J2+D2*1.6+G2*D2*K2</f>
        <v>#VALUE!</v>
      </c>
      <c r="O2" s="20" t="str" cm="1">
        <f t="array" ref="O2">IFERROR(INDEX(商品管理!P:P,MATCH(B2,商品管理!A:A,0)),"")</f>
        <v/>
      </c>
      <c r="P2" s="26" t="e">
        <f>R2*S2*T2*D2/1000000</f>
        <v>#VALUE!</v>
      </c>
      <c r="R2" s="10" t="str" cm="1">
        <f t="array" ref="R2">IFERROR(INDEX(商品管理!Q:Q,MATCH(B2,商品管理!A:A,0)),"")</f>
        <v/>
      </c>
      <c r="S2" s="10" t="str" cm="1">
        <f t="array" ref="S2">IFERROR(INDEX(商品管理!R:R,MATCH(B2,商品管理!A:A,0)),"")</f>
        <v/>
      </c>
      <c r="T2" s="10" t="str" cm="1">
        <f t="array" ref="T2">IFERROR(INDEX(商品管理!S:S,MATCH(B2,商品管理!A:A,0)),"")</f>
        <v/>
      </c>
      <c r="U2" s="21" t="str" cm="1">
        <f t="array" ref="U2">IFERROR(INDEX(商品管理!B:B,MATCH(B2,商品管理!A:A,0)),"")</f>
        <v/>
      </c>
      <c r="V2" s="21" t="str" cm="1">
        <f t="array" ref="V2">IFERROR(INDEX(商品管理!C:C,MATCH(B2,商品管理!A:A,0)),"")</f>
        <v/>
      </c>
      <c r="Y2" s="21" t="str" cm="1">
        <f t="array" ref="Y2">IFERROR(INDEX(FBA仓库代码表!F:F,MATCH(E2,FBA仓库代码表!B:B,0)),"")</f>
        <v/>
      </c>
      <c r="Z2" s="21" t="str" cm="1">
        <f t="array" ref="Z2">"申报要素："&amp;IFERROR(INDEX(商品管理!D:D,MATCH(B2,商品管理!A:A,0)),"")</f>
        <v>申报要素：</v>
      </c>
      <c r="AA2" s="21" t="s">
        <v>31</v>
      </c>
      <c r="AD2" s="21" t="str" cm="1">
        <f t="array" ref="AD2">IFERROR(INDEX(商品管理!E:E,MATCH(B2,商品管理!A:A,0)),"")</f>
        <v/>
      </c>
      <c r="AE2" s="21" t="str" cm="1">
        <f t="array" ref="AE2">IFERROR(INDEX(商品管理!F:F,MATCH(B2,商品管理!A:A,0)),"")</f>
        <v/>
      </c>
      <c r="AF2" s="21" t="str" cm="1">
        <f t="array" ref="AF2">IFERROR(INDEX(FBA仓库代码表!G:G,MATCH(E2,FBA仓库代码表!B:B,0)),"")</f>
        <v/>
      </c>
      <c r="AG2" s="21" t="str" cm="1">
        <f t="array" ref="AG2">IFERROR(INDEX(FBA仓库代码表!H:H,MATCH(E2,FBA仓库代码表!B:B,0)),"")</f>
        <v/>
      </c>
    </row>
    <row r="3" spans="1:33">
      <c r="A3" s="24"/>
      <c r="B3" s="24"/>
      <c r="C3" s="24"/>
      <c r="D3" s="24"/>
      <c r="E3" s="24"/>
      <c r="P3" s="26"/>
      <c r="R3" s="10"/>
      <c r="S3" s="10"/>
      <c r="T3" s="10"/>
    </row>
    <row r="4" spans="1:33">
      <c r="A4" s="24"/>
      <c r="B4" s="24"/>
      <c r="C4" s="24"/>
      <c r="D4" s="24"/>
      <c r="E4" s="24"/>
      <c r="P4" s="26"/>
      <c r="R4" s="10"/>
      <c r="S4" s="10"/>
      <c r="T4" s="10"/>
    </row>
    <row r="5" spans="1:33">
      <c r="A5" s="24"/>
      <c r="B5" s="24"/>
      <c r="C5" s="24"/>
      <c r="D5" s="24"/>
      <c r="E5" s="24"/>
      <c r="P5" s="26"/>
      <c r="R5" s="10"/>
      <c r="S5" s="10"/>
      <c r="T5" s="10"/>
    </row>
    <row r="6" spans="1:33">
      <c r="A6" s="24"/>
      <c r="B6" s="24"/>
      <c r="C6" s="24"/>
      <c r="D6" s="24"/>
      <c r="E6" s="24"/>
      <c r="P6" s="26"/>
      <c r="R6" s="10"/>
      <c r="S6" s="10"/>
      <c r="T6" s="10"/>
    </row>
    <row r="7" spans="1:33">
      <c r="A7" s="24"/>
      <c r="B7" s="24"/>
      <c r="C7" s="24"/>
      <c r="D7" s="24"/>
      <c r="E7" s="24"/>
      <c r="P7" s="26"/>
      <c r="R7" s="10"/>
      <c r="S7" s="10"/>
      <c r="T7" s="10"/>
    </row>
    <row r="8" spans="1:33">
      <c r="A8" s="24"/>
      <c r="B8" s="24"/>
      <c r="C8" s="24"/>
      <c r="D8" s="24"/>
      <c r="E8" s="24"/>
      <c r="P8" s="26"/>
      <c r="R8" s="10"/>
      <c r="S8" s="10"/>
      <c r="T8" s="10"/>
    </row>
    <row r="9" spans="1:33">
      <c r="A9" s="24"/>
      <c r="B9" s="24"/>
      <c r="C9" s="24"/>
      <c r="D9" s="24"/>
      <c r="E9" s="24"/>
      <c r="P9" s="26"/>
      <c r="R9" s="10"/>
      <c r="S9" s="10"/>
      <c r="T9" s="10"/>
    </row>
    <row r="10" spans="1:33">
      <c r="A10" s="24"/>
      <c r="B10" s="24"/>
      <c r="C10" s="24"/>
      <c r="D10" s="24"/>
      <c r="E10" s="24"/>
      <c r="P10" s="26"/>
      <c r="R10" s="10"/>
      <c r="S10" s="10"/>
      <c r="T10" s="10"/>
    </row>
    <row r="11" spans="1:33">
      <c r="A11" s="24"/>
      <c r="B11" s="24"/>
      <c r="C11" s="24"/>
      <c r="D11" s="24"/>
      <c r="E11" s="24"/>
      <c r="P11" s="26"/>
      <c r="R11" s="10"/>
      <c r="S11" s="10"/>
      <c r="T11" s="10"/>
    </row>
    <row r="12" spans="1:33">
      <c r="A12" s="24"/>
      <c r="B12" s="24"/>
      <c r="C12" s="24"/>
      <c r="D12" s="24"/>
      <c r="E12" s="24"/>
      <c r="P12" s="26"/>
      <c r="R12" s="10"/>
      <c r="S12" s="10"/>
      <c r="T12" s="10"/>
    </row>
    <row r="13" spans="1:33">
      <c r="A13" s="24"/>
      <c r="B13" s="24"/>
      <c r="C13" s="24"/>
      <c r="D13" s="24"/>
      <c r="E13" s="24"/>
      <c r="P13" s="26"/>
      <c r="R13" s="10"/>
      <c r="S13" s="10"/>
      <c r="T13" s="10"/>
    </row>
    <row r="14" spans="1:33">
      <c r="A14" s="24"/>
      <c r="B14" s="24"/>
      <c r="C14" s="24"/>
      <c r="D14" s="24"/>
      <c r="E14" s="24"/>
      <c r="P14" s="26"/>
      <c r="R14" s="10"/>
      <c r="S14" s="10"/>
      <c r="T14" s="10"/>
    </row>
    <row r="15" spans="1:33">
      <c r="A15" s="24"/>
      <c r="B15" s="24"/>
      <c r="C15" s="24"/>
      <c r="D15" s="24"/>
      <c r="E15" s="24"/>
      <c r="P15" s="26"/>
      <c r="R15" s="10"/>
      <c r="S15" s="10"/>
      <c r="T15" s="10"/>
    </row>
    <row r="16" spans="1:33">
      <c r="A16" s="24"/>
      <c r="B16" s="24"/>
      <c r="C16" s="24"/>
      <c r="D16" s="24"/>
      <c r="E16" s="24"/>
      <c r="P16" s="26"/>
      <c r="R16" s="10"/>
      <c r="S16" s="10"/>
      <c r="T16" s="10"/>
    </row>
    <row r="17" spans="1:27">
      <c r="A17" s="24"/>
      <c r="B17" s="24"/>
      <c r="C17" s="24"/>
      <c r="D17" s="24"/>
      <c r="E17" s="24"/>
      <c r="P17" s="26"/>
      <c r="R17" s="10"/>
      <c r="S17" s="10"/>
      <c r="T17" s="10"/>
    </row>
    <row r="18" spans="1:27">
      <c r="A18" s="24"/>
      <c r="B18" s="24"/>
      <c r="C18" s="24"/>
      <c r="D18" s="24"/>
      <c r="E18" s="24"/>
      <c r="P18" s="26"/>
      <c r="R18" s="10"/>
      <c r="S18" s="10"/>
      <c r="T18" s="10"/>
    </row>
    <row r="19" spans="1:27">
      <c r="A19" s="24"/>
      <c r="B19" s="24"/>
      <c r="C19" s="24"/>
      <c r="D19" s="24"/>
      <c r="E19" s="24"/>
      <c r="P19" s="26"/>
      <c r="R19" s="10"/>
      <c r="S19" s="10"/>
      <c r="T19" s="10"/>
    </row>
    <row r="20" spans="1:27">
      <c r="A20" s="24"/>
      <c r="B20" s="24"/>
      <c r="C20" s="24"/>
      <c r="D20" s="24"/>
      <c r="E20" s="24"/>
      <c r="P20" s="26"/>
      <c r="R20" s="10"/>
      <c r="S20" s="10"/>
      <c r="T20" s="10"/>
    </row>
    <row r="21" s="21" customFormat="1" spans="1:27">
      <c r="A21" s="27"/>
      <c r="B21" s="27"/>
      <c r="C21" s="24"/>
      <c r="D21" s="24"/>
      <c r="E21" s="27"/>
      <c r="G21" s="20"/>
      <c r="H21" s="20"/>
      <c r="I21" s="20"/>
      <c r="J21" s="20"/>
      <c r="K21" s="20"/>
      <c r="L21" s="20"/>
      <c r="M21" s="20"/>
      <c r="N21" s="20"/>
      <c r="O21" s="20"/>
      <c r="P21" s="26"/>
      <c r="R21" s="10"/>
      <c r="S21" s="10"/>
      <c r="T21" s="10"/>
      <c r="Y21" s="28"/>
      <c r="Z21" s="28"/>
      <c r="AA21" s="28"/>
    </row>
    <row r="22" s="21" customFormat="1" spans="1:27">
      <c r="A22" s="27"/>
      <c r="B22" s="27"/>
      <c r="C22" s="24"/>
      <c r="D22" s="24"/>
      <c r="E22" s="27"/>
      <c r="G22" s="20"/>
      <c r="H22" s="20"/>
      <c r="I22" s="20"/>
      <c r="J22" s="20"/>
      <c r="K22" s="20"/>
      <c r="L22" s="20"/>
      <c r="M22" s="20"/>
      <c r="N22" s="20"/>
      <c r="O22" s="20"/>
      <c r="P22" s="26"/>
      <c r="R22" s="10"/>
      <c r="S22" s="10"/>
      <c r="T22" s="10"/>
      <c r="Y22" s="28"/>
      <c r="Z22" s="28"/>
      <c r="AA22" s="28"/>
    </row>
    <row r="23" s="21" customFormat="1" spans="1:27">
      <c r="A23" s="27"/>
      <c r="B23" s="27"/>
      <c r="C23" s="24"/>
      <c r="D23" s="24"/>
      <c r="E23" s="27"/>
      <c r="G23" s="20"/>
      <c r="H23" s="20"/>
      <c r="I23" s="20"/>
      <c r="J23" s="20"/>
      <c r="K23" s="20"/>
      <c r="L23" s="20"/>
      <c r="M23" s="20"/>
      <c r="N23" s="20"/>
      <c r="O23" s="20"/>
      <c r="P23" s="26"/>
      <c r="R23" s="10"/>
      <c r="S23" s="10"/>
      <c r="T23" s="10"/>
      <c r="Y23" s="28"/>
      <c r="Z23" s="28"/>
      <c r="AA23" s="28"/>
    </row>
    <row r="24" s="21" customFormat="1" spans="1:27">
      <c r="A24" s="27"/>
      <c r="B24" s="27"/>
      <c r="C24" s="24"/>
      <c r="D24" s="24"/>
      <c r="E24" s="27"/>
      <c r="G24" s="20"/>
      <c r="H24" s="20"/>
      <c r="I24" s="20"/>
      <c r="J24" s="20"/>
      <c r="K24" s="20"/>
      <c r="L24" s="20"/>
      <c r="M24" s="20"/>
      <c r="N24" s="20"/>
      <c r="O24" s="20"/>
      <c r="P24" s="26"/>
      <c r="R24" s="10"/>
      <c r="S24" s="10"/>
      <c r="T24" s="10"/>
      <c r="Y24" s="28"/>
      <c r="Z24" s="28"/>
      <c r="AA24" s="28"/>
    </row>
    <row r="25" s="21" customFormat="1" spans="1:27">
      <c r="A25" s="27"/>
      <c r="B25" s="27"/>
      <c r="C25" s="24"/>
      <c r="D25" s="24"/>
      <c r="E25" s="27"/>
      <c r="G25" s="20"/>
      <c r="H25" s="20"/>
      <c r="I25" s="20"/>
      <c r="J25" s="20"/>
      <c r="K25" s="20"/>
      <c r="L25" s="20"/>
      <c r="M25" s="20"/>
      <c r="N25" s="20"/>
      <c r="O25" s="20"/>
      <c r="P25" s="26"/>
      <c r="R25" s="10"/>
      <c r="S25" s="10"/>
      <c r="T25" s="10"/>
      <c r="Y25" s="28"/>
      <c r="Z25" s="28"/>
      <c r="AA25" s="28"/>
    </row>
    <row r="26" s="21" customFormat="1" spans="1:27">
      <c r="A26" s="27"/>
      <c r="B26" s="27"/>
      <c r="C26" s="24"/>
      <c r="D26" s="24"/>
      <c r="E26" s="27"/>
      <c r="G26" s="20"/>
      <c r="H26" s="20"/>
      <c r="I26" s="20"/>
      <c r="J26" s="20"/>
      <c r="K26" s="20"/>
      <c r="L26" s="20"/>
      <c r="M26" s="20"/>
      <c r="N26" s="20"/>
      <c r="O26" s="20"/>
      <c r="P26" s="26"/>
      <c r="R26" s="10"/>
      <c r="S26" s="10"/>
      <c r="T26" s="10"/>
      <c r="Y26" s="28"/>
      <c r="Z26" s="28"/>
      <c r="AA26" s="28"/>
    </row>
    <row r="27" s="21" customFormat="1" spans="1:27">
      <c r="A27" s="27"/>
      <c r="B27" s="27"/>
      <c r="C27" s="24"/>
      <c r="D27" s="24"/>
      <c r="E27" s="27"/>
      <c r="G27" s="20"/>
      <c r="H27" s="20"/>
      <c r="I27" s="20"/>
      <c r="J27" s="20"/>
      <c r="K27" s="20"/>
      <c r="L27" s="20"/>
      <c r="M27" s="20"/>
      <c r="N27" s="20"/>
      <c r="O27" s="20"/>
      <c r="P27" s="26"/>
      <c r="R27" s="10"/>
      <c r="S27" s="10"/>
      <c r="T27" s="10"/>
      <c r="Y27" s="28"/>
      <c r="Z27" s="28"/>
      <c r="AA27" s="28"/>
    </row>
    <row r="28" s="21" customFormat="1" spans="1:27">
      <c r="A28" s="27"/>
      <c r="B28" s="27"/>
      <c r="C28" s="24"/>
      <c r="D28" s="24"/>
      <c r="E28" s="27"/>
      <c r="G28" s="20"/>
      <c r="H28" s="20"/>
      <c r="I28" s="20"/>
      <c r="J28" s="20"/>
      <c r="K28" s="20"/>
      <c r="L28" s="20"/>
      <c r="M28" s="20"/>
      <c r="N28" s="20"/>
      <c r="O28" s="20"/>
      <c r="P28" s="26"/>
      <c r="R28" s="10"/>
      <c r="S28" s="10"/>
      <c r="T28" s="10"/>
      <c r="Y28" s="28"/>
      <c r="Z28" s="28"/>
      <c r="AA28" s="28"/>
    </row>
    <row r="29" s="21" customFormat="1" spans="1:27">
      <c r="A29" s="27"/>
      <c r="B29" s="27"/>
      <c r="C29" s="24"/>
      <c r="D29" s="24"/>
      <c r="E29" s="27"/>
      <c r="G29" s="20"/>
      <c r="H29" s="20"/>
      <c r="I29" s="20"/>
      <c r="J29" s="20"/>
      <c r="K29" s="20"/>
      <c r="L29" s="20"/>
      <c r="M29" s="20"/>
      <c r="N29" s="20"/>
      <c r="O29" s="20"/>
      <c r="P29" s="26"/>
      <c r="R29" s="10"/>
      <c r="S29" s="10"/>
      <c r="T29" s="10"/>
      <c r="Y29" s="28"/>
      <c r="Z29" s="28"/>
      <c r="AA29" s="28"/>
    </row>
    <row r="30" s="21" customFormat="1" spans="1:27">
      <c r="A30" s="24"/>
      <c r="B30" s="24"/>
      <c r="C30" s="24"/>
      <c r="D30" s="24"/>
      <c r="E30" s="24"/>
      <c r="G30" s="20"/>
      <c r="H30" s="20"/>
      <c r="I30" s="20"/>
      <c r="J30" s="20"/>
      <c r="K30" s="20"/>
      <c r="L30" s="20"/>
      <c r="M30" s="20"/>
      <c r="N30" s="20"/>
      <c r="O30" s="20"/>
      <c r="P30" s="26"/>
      <c r="R30" s="10"/>
      <c r="S30" s="10"/>
      <c r="T30" s="10"/>
    </row>
    <row r="31" s="21" customFormat="1" spans="1:27">
      <c r="A31" s="24"/>
      <c r="B31" s="24"/>
      <c r="C31" s="24"/>
      <c r="D31" s="24"/>
      <c r="E31" s="24"/>
      <c r="G31" s="20"/>
      <c r="H31" s="20"/>
      <c r="I31" s="20"/>
      <c r="J31" s="20"/>
      <c r="K31" s="20"/>
      <c r="L31" s="20"/>
      <c r="M31" s="20"/>
      <c r="N31" s="20"/>
      <c r="O31" s="20"/>
      <c r="P31" s="26"/>
      <c r="R31" s="10"/>
      <c r="S31" s="10"/>
      <c r="T31" s="10"/>
    </row>
    <row r="32" s="21" customFormat="1" spans="1:27">
      <c r="A32" s="24"/>
      <c r="B32" s="24"/>
      <c r="C32" s="24"/>
      <c r="D32" s="24"/>
      <c r="E32" s="24"/>
      <c r="G32" s="20"/>
      <c r="H32" s="20"/>
      <c r="I32" s="20"/>
      <c r="J32" s="20"/>
      <c r="K32" s="20"/>
      <c r="L32" s="20"/>
      <c r="M32" s="20"/>
      <c r="N32" s="20"/>
      <c r="O32" s="20"/>
      <c r="P32" s="26"/>
      <c r="R32" s="10"/>
      <c r="S32" s="10"/>
      <c r="T32" s="10"/>
    </row>
    <row r="33" s="21" customFormat="1" spans="1:20">
      <c r="A33" s="24"/>
      <c r="B33" s="24"/>
      <c r="C33" s="24"/>
      <c r="D33" s="24"/>
      <c r="E33" s="24"/>
      <c r="G33" s="20"/>
      <c r="H33" s="20"/>
      <c r="I33" s="20"/>
      <c r="J33" s="20"/>
      <c r="K33" s="20"/>
      <c r="L33" s="20"/>
      <c r="M33" s="20"/>
      <c r="N33" s="20"/>
      <c r="O33" s="20"/>
      <c r="P33" s="26"/>
      <c r="R33" s="10"/>
      <c r="S33" s="10"/>
      <c r="T33" s="10"/>
    </row>
    <row r="34" s="21" customFormat="1" spans="1:20">
      <c r="A34" s="24"/>
      <c r="B34" s="24"/>
      <c r="C34" s="24"/>
      <c r="D34" s="24"/>
      <c r="E34" s="24"/>
      <c r="G34" s="20"/>
      <c r="H34" s="20"/>
      <c r="I34" s="20"/>
      <c r="J34" s="20"/>
      <c r="K34" s="20"/>
      <c r="L34" s="20"/>
      <c r="M34" s="20"/>
      <c r="N34" s="20"/>
      <c r="O34" s="20"/>
      <c r="P34" s="26"/>
      <c r="R34" s="10"/>
      <c r="S34" s="10"/>
      <c r="T34" s="10"/>
    </row>
    <row r="35" s="21" customFormat="1" spans="1:20">
      <c r="A35" s="24"/>
      <c r="B35" s="24"/>
      <c r="C35" s="24"/>
      <c r="D35" s="24"/>
      <c r="E35" s="24"/>
      <c r="G35" s="20"/>
      <c r="H35" s="20"/>
      <c r="I35" s="20"/>
      <c r="J35" s="20"/>
      <c r="K35" s="20"/>
      <c r="L35" s="20"/>
      <c r="M35" s="20"/>
      <c r="N35" s="20"/>
      <c r="O35" s="20"/>
      <c r="P35" s="26"/>
      <c r="R35" s="10"/>
      <c r="S35" s="10"/>
      <c r="T35" s="10"/>
    </row>
    <row r="36" s="21" customFormat="1" spans="1:20">
      <c r="A36" s="24"/>
      <c r="B36" s="24"/>
      <c r="C36" s="24"/>
      <c r="D36" s="24"/>
      <c r="E36" s="24"/>
      <c r="G36" s="20"/>
      <c r="H36" s="20"/>
      <c r="I36" s="20"/>
      <c r="J36" s="20"/>
      <c r="K36" s="20"/>
      <c r="L36" s="20"/>
      <c r="M36" s="20"/>
      <c r="N36" s="20"/>
      <c r="O36" s="20"/>
      <c r="P36" s="26"/>
      <c r="R36" s="10"/>
      <c r="S36" s="10"/>
      <c r="T36" s="10"/>
    </row>
    <row r="37" s="21" customFormat="1" spans="1:20">
      <c r="A37" s="24"/>
      <c r="B37" s="24"/>
      <c r="C37" s="24"/>
      <c r="D37" s="24"/>
      <c r="E37" s="24"/>
      <c r="G37" s="20"/>
      <c r="H37" s="20"/>
      <c r="I37" s="20"/>
      <c r="J37" s="20"/>
      <c r="K37" s="20"/>
      <c r="L37" s="20"/>
      <c r="M37" s="20"/>
      <c r="N37" s="20"/>
      <c r="O37" s="20"/>
      <c r="P37" s="26"/>
      <c r="R37" s="10"/>
      <c r="S37" s="10"/>
      <c r="T37" s="10"/>
    </row>
    <row r="38" s="21" customFormat="1" spans="1:20">
      <c r="A38" s="24"/>
      <c r="B38" s="24"/>
      <c r="C38" s="24"/>
      <c r="D38" s="24"/>
      <c r="E38" s="24"/>
      <c r="G38" s="20"/>
      <c r="H38" s="20"/>
      <c r="I38" s="20"/>
      <c r="J38" s="20"/>
      <c r="K38" s="20"/>
      <c r="L38" s="20"/>
      <c r="M38" s="20"/>
      <c r="N38" s="20"/>
      <c r="O38" s="20"/>
      <c r="P38" s="26"/>
      <c r="R38" s="10"/>
      <c r="S38" s="10"/>
      <c r="T38" s="10"/>
    </row>
    <row r="39" spans="1:20">
      <c r="A39" s="24"/>
      <c r="B39" s="24"/>
      <c r="C39" s="24"/>
      <c r="D39" s="24"/>
      <c r="E39" s="24"/>
      <c r="P39" s="26"/>
      <c r="R39" s="10"/>
      <c r="S39" s="10"/>
      <c r="T39" s="10"/>
    </row>
    <row r="40" spans="1:20">
      <c r="A40" s="24"/>
      <c r="B40" s="24"/>
      <c r="C40" s="24"/>
      <c r="D40" s="24"/>
      <c r="E40" s="24"/>
      <c r="P40" s="26"/>
      <c r="R40" s="10"/>
      <c r="S40" s="10"/>
      <c r="T40" s="10"/>
    </row>
    <row r="41" spans="1:20">
      <c r="A41" s="24"/>
      <c r="B41" s="24"/>
      <c r="C41" s="24"/>
      <c r="D41" s="24"/>
      <c r="E41" s="24"/>
      <c r="P41" s="26"/>
      <c r="R41" s="10"/>
      <c r="S41" s="10"/>
      <c r="T41" s="10"/>
    </row>
    <row r="42" spans="1:20">
      <c r="A42" s="24"/>
      <c r="B42" s="24"/>
      <c r="C42" s="24"/>
      <c r="D42" s="24"/>
      <c r="E42" s="24"/>
      <c r="P42" s="26"/>
      <c r="R42" s="10"/>
      <c r="S42" s="10"/>
      <c r="T42" s="10"/>
    </row>
    <row r="43" spans="1:20">
      <c r="A43" s="24"/>
      <c r="B43" s="24"/>
      <c r="C43" s="24"/>
      <c r="D43" s="24"/>
      <c r="E43" s="24"/>
      <c r="P43" s="26"/>
      <c r="R43" s="10"/>
      <c r="S43" s="10"/>
      <c r="T43" s="10"/>
    </row>
    <row r="44" spans="1:20">
      <c r="A44" s="24"/>
      <c r="B44" s="24"/>
      <c r="C44" s="24"/>
      <c r="D44" s="24"/>
      <c r="E44" s="24"/>
      <c r="P44" s="26"/>
      <c r="R44" s="10"/>
      <c r="S44" s="10"/>
      <c r="T44" s="10"/>
    </row>
    <row r="45" spans="1:20">
      <c r="A45" s="24"/>
      <c r="B45" s="24"/>
      <c r="C45" s="24"/>
      <c r="D45" s="24"/>
      <c r="E45" s="24"/>
      <c r="P45" s="26"/>
      <c r="R45" s="10"/>
      <c r="S45" s="10"/>
      <c r="T45" s="10"/>
    </row>
    <row r="46" spans="1:20">
      <c r="A46" s="24"/>
      <c r="B46" s="24"/>
      <c r="C46" s="24"/>
      <c r="D46" s="24"/>
      <c r="E46" s="24"/>
      <c r="P46" s="26"/>
      <c r="R46" s="10"/>
      <c r="S46" s="10"/>
      <c r="T46" s="10"/>
    </row>
    <row r="47" spans="1:20">
      <c r="A47" s="24"/>
      <c r="B47" s="24"/>
      <c r="C47" s="24"/>
      <c r="D47" s="24"/>
      <c r="E47" s="24"/>
      <c r="P47" s="26"/>
      <c r="R47" s="10"/>
      <c r="S47" s="10"/>
      <c r="T47" s="10"/>
    </row>
    <row r="48" spans="1:20">
      <c r="A48" s="24"/>
      <c r="B48" s="24"/>
      <c r="C48" s="24"/>
      <c r="D48" s="24"/>
      <c r="E48" s="24"/>
      <c r="P48" s="26"/>
      <c r="R48" s="10"/>
      <c r="S48" s="10"/>
      <c r="T48" s="10"/>
    </row>
    <row r="49" s="21" customFormat="1" spans="1:27">
      <c r="A49" s="27"/>
      <c r="B49" s="27"/>
      <c r="C49" s="24"/>
      <c r="D49" s="24"/>
      <c r="E49" s="27"/>
      <c r="G49" s="20"/>
      <c r="H49" s="20"/>
      <c r="I49" s="20"/>
      <c r="J49" s="20"/>
      <c r="K49" s="20"/>
      <c r="L49" s="20"/>
      <c r="M49" s="20"/>
      <c r="N49" s="20"/>
      <c r="O49" s="20"/>
      <c r="P49" s="26"/>
      <c r="R49" s="10"/>
      <c r="S49" s="10"/>
      <c r="T49" s="10"/>
      <c r="Y49" s="28"/>
      <c r="Z49" s="28"/>
      <c r="AA49" s="28"/>
    </row>
    <row r="50" s="21" customFormat="1" spans="1:27">
      <c r="A50" s="27"/>
      <c r="B50" s="27"/>
      <c r="C50" s="24"/>
      <c r="D50" s="24"/>
      <c r="E50" s="27"/>
      <c r="G50" s="20"/>
      <c r="H50" s="20"/>
      <c r="I50" s="20"/>
      <c r="J50" s="20"/>
      <c r="K50" s="20"/>
      <c r="L50" s="20"/>
      <c r="M50" s="20"/>
      <c r="N50" s="20"/>
      <c r="O50" s="20"/>
      <c r="P50" s="26"/>
      <c r="R50" s="10"/>
      <c r="S50" s="10"/>
      <c r="T50" s="10"/>
      <c r="Y50" s="28"/>
      <c r="Z50" s="28"/>
      <c r="AA50" s="28"/>
    </row>
    <row r="51" s="21" customFormat="1" spans="1:27">
      <c r="A51" s="27"/>
      <c r="B51" s="27"/>
      <c r="C51" s="24"/>
      <c r="D51" s="24"/>
      <c r="E51" s="27"/>
      <c r="G51" s="20"/>
      <c r="H51" s="20"/>
      <c r="I51" s="20"/>
      <c r="J51" s="20"/>
      <c r="K51" s="20"/>
      <c r="L51" s="20"/>
      <c r="M51" s="20"/>
      <c r="N51" s="20"/>
      <c r="O51" s="20"/>
      <c r="P51" s="26"/>
      <c r="R51" s="10"/>
      <c r="S51" s="10"/>
      <c r="T51" s="10"/>
      <c r="Y51" s="28"/>
      <c r="Z51" s="28"/>
      <c r="AA51" s="28"/>
    </row>
    <row r="52" s="21" customFormat="1" spans="1:27">
      <c r="A52" s="27"/>
      <c r="B52" s="27"/>
      <c r="C52" s="24"/>
      <c r="D52" s="24"/>
      <c r="E52" s="27"/>
      <c r="G52" s="20"/>
      <c r="H52" s="20"/>
      <c r="I52" s="20"/>
      <c r="J52" s="20"/>
      <c r="K52" s="20"/>
      <c r="L52" s="20"/>
      <c r="M52" s="20"/>
      <c r="N52" s="20"/>
      <c r="O52" s="20"/>
      <c r="P52" s="26"/>
      <c r="R52" s="10"/>
      <c r="S52" s="10"/>
      <c r="T52" s="10"/>
      <c r="Y52" s="28"/>
      <c r="Z52" s="28"/>
      <c r="AA52" s="28"/>
    </row>
    <row r="53" s="21" customFormat="1" spans="1:27">
      <c r="A53" s="27"/>
      <c r="B53" s="27"/>
      <c r="C53" s="24"/>
      <c r="D53" s="24"/>
      <c r="E53" s="27"/>
      <c r="G53" s="20"/>
      <c r="H53" s="20"/>
      <c r="I53" s="20"/>
      <c r="J53" s="20"/>
      <c r="K53" s="20"/>
      <c r="L53" s="20"/>
      <c r="M53" s="20"/>
      <c r="N53" s="20"/>
      <c r="O53" s="20"/>
      <c r="P53" s="26"/>
      <c r="R53" s="10"/>
      <c r="S53" s="10"/>
      <c r="T53" s="10"/>
      <c r="Y53" s="28"/>
      <c r="Z53" s="28"/>
      <c r="AA53" s="28"/>
    </row>
    <row r="54" s="21" customFormat="1" spans="1:27">
      <c r="A54" s="27"/>
      <c r="B54" s="27"/>
      <c r="C54" s="24"/>
      <c r="D54" s="24"/>
      <c r="E54" s="27"/>
      <c r="G54" s="20"/>
      <c r="H54" s="20"/>
      <c r="I54" s="20"/>
      <c r="J54" s="20"/>
      <c r="K54" s="20"/>
      <c r="L54" s="20"/>
      <c r="M54" s="20"/>
      <c r="N54" s="20"/>
      <c r="O54" s="20"/>
      <c r="P54" s="26"/>
      <c r="R54" s="10"/>
      <c r="S54" s="10"/>
      <c r="T54" s="10"/>
      <c r="Y54" s="28"/>
      <c r="Z54" s="28"/>
      <c r="AA54" s="28"/>
    </row>
    <row r="55" s="21" customFormat="1" spans="1:27">
      <c r="A55" s="27"/>
      <c r="B55" s="27"/>
      <c r="C55" s="24"/>
      <c r="D55" s="24"/>
      <c r="E55" s="27"/>
      <c r="G55" s="20"/>
      <c r="H55" s="20"/>
      <c r="I55" s="20"/>
      <c r="J55" s="20"/>
      <c r="K55" s="20"/>
      <c r="L55" s="20"/>
      <c r="M55" s="20"/>
      <c r="N55" s="20"/>
      <c r="O55" s="20"/>
      <c r="P55" s="26"/>
      <c r="R55" s="10"/>
      <c r="S55" s="10"/>
      <c r="T55" s="10"/>
      <c r="Y55" s="28"/>
      <c r="Z55" s="28"/>
      <c r="AA55" s="28"/>
    </row>
    <row r="56" s="21" customFormat="1" spans="1:27">
      <c r="A56" s="27"/>
      <c r="B56" s="27"/>
      <c r="C56" s="24"/>
      <c r="D56" s="24"/>
      <c r="E56" s="27"/>
      <c r="G56" s="20"/>
      <c r="H56" s="20"/>
      <c r="I56" s="20"/>
      <c r="J56" s="20"/>
      <c r="K56" s="20"/>
      <c r="L56" s="20"/>
      <c r="M56" s="20"/>
      <c r="N56" s="20"/>
      <c r="O56" s="20"/>
      <c r="P56" s="26"/>
      <c r="R56" s="10"/>
      <c r="S56" s="10"/>
      <c r="T56" s="10"/>
      <c r="Y56" s="28"/>
      <c r="Z56" s="28"/>
      <c r="AA56" s="28"/>
    </row>
    <row r="57" s="21" customFormat="1" spans="1:27">
      <c r="A57" s="27"/>
      <c r="B57" s="27"/>
      <c r="C57" s="24"/>
      <c r="D57" s="24"/>
      <c r="E57" s="27"/>
      <c r="G57" s="20"/>
      <c r="H57" s="20"/>
      <c r="I57" s="20"/>
      <c r="J57" s="20"/>
      <c r="K57" s="20"/>
      <c r="L57" s="20"/>
      <c r="M57" s="20"/>
      <c r="N57" s="20"/>
      <c r="O57" s="20"/>
      <c r="P57" s="26"/>
      <c r="R57" s="10"/>
      <c r="S57" s="10"/>
      <c r="T57" s="10"/>
      <c r="Y57" s="28"/>
      <c r="Z57" s="28"/>
      <c r="AA57" s="28"/>
    </row>
    <row r="58" spans="1:27">
      <c r="A58" s="24"/>
      <c r="B58" s="24"/>
      <c r="C58" s="24"/>
      <c r="D58" s="24"/>
      <c r="E58" s="24"/>
      <c r="P58" s="26"/>
      <c r="R58" s="10"/>
      <c r="S58" s="10"/>
      <c r="T58" s="10"/>
    </row>
    <row r="59" spans="1:27">
      <c r="A59" s="24"/>
      <c r="B59" s="24"/>
      <c r="C59" s="24"/>
      <c r="D59" s="24"/>
      <c r="E59" s="24"/>
      <c r="P59" s="26"/>
      <c r="R59" s="10"/>
      <c r="S59" s="10"/>
      <c r="T59" s="10"/>
    </row>
    <row r="60" spans="1:27">
      <c r="A60" s="24"/>
      <c r="B60" s="24"/>
      <c r="C60" s="24"/>
      <c r="D60" s="24"/>
      <c r="E60" s="24"/>
      <c r="P60" s="26"/>
      <c r="R60" s="10"/>
      <c r="S60" s="10"/>
      <c r="T60" s="10"/>
    </row>
    <row r="61" spans="1:27">
      <c r="A61" s="24"/>
      <c r="B61" s="24"/>
      <c r="C61" s="24"/>
      <c r="D61" s="24"/>
      <c r="E61" s="24"/>
      <c r="P61" s="26"/>
      <c r="R61" s="10"/>
      <c r="S61" s="10"/>
      <c r="T61" s="10"/>
    </row>
    <row r="62" spans="1:27">
      <c r="A62" s="24"/>
      <c r="B62" s="24"/>
      <c r="C62" s="24"/>
      <c r="D62" s="24"/>
      <c r="E62" s="24"/>
      <c r="P62" s="26"/>
      <c r="R62" s="10"/>
      <c r="S62" s="10"/>
      <c r="T62" s="10"/>
    </row>
    <row r="63" spans="1:27">
      <c r="A63" s="24"/>
      <c r="B63" s="24"/>
      <c r="C63" s="24"/>
      <c r="D63" s="24"/>
      <c r="E63" s="24"/>
      <c r="P63" s="26"/>
      <c r="R63" s="10"/>
      <c r="S63" s="10"/>
      <c r="T63" s="10"/>
    </row>
    <row r="64" spans="1:27">
      <c r="A64" s="24"/>
      <c r="B64" s="24"/>
      <c r="C64" s="24"/>
      <c r="D64" s="24"/>
      <c r="E64" s="24"/>
      <c r="P64" s="26"/>
      <c r="R64" s="10"/>
      <c r="S64" s="10"/>
      <c r="T64" s="10"/>
    </row>
    <row r="65" spans="1:27">
      <c r="A65" s="24"/>
      <c r="B65" s="24"/>
      <c r="C65" s="24"/>
      <c r="D65" s="24"/>
      <c r="E65" s="24"/>
      <c r="P65" s="26"/>
      <c r="R65" s="10"/>
      <c r="S65" s="10"/>
      <c r="T65" s="10"/>
    </row>
    <row r="66" spans="1:27">
      <c r="A66" s="24"/>
      <c r="B66" s="24"/>
      <c r="C66" s="24"/>
      <c r="D66" s="24"/>
      <c r="E66" s="24"/>
      <c r="P66" s="26"/>
      <c r="R66" s="10"/>
      <c r="S66" s="10"/>
      <c r="T66" s="10"/>
    </row>
    <row r="67" spans="1:27">
      <c r="A67" s="24"/>
      <c r="B67" s="24"/>
      <c r="C67" s="24"/>
      <c r="D67" s="24"/>
      <c r="E67" s="24"/>
      <c r="P67" s="26"/>
      <c r="R67" s="10"/>
      <c r="S67" s="10"/>
      <c r="T67" s="10"/>
    </row>
    <row r="68" spans="1:27">
      <c r="A68" s="24"/>
      <c r="B68" s="24"/>
      <c r="C68" s="24"/>
      <c r="D68" s="24"/>
      <c r="E68" s="24"/>
      <c r="P68" s="26"/>
      <c r="R68" s="10"/>
      <c r="S68" s="10"/>
      <c r="T68" s="10"/>
    </row>
    <row r="69" spans="1:27">
      <c r="A69" s="24"/>
      <c r="B69" s="24"/>
      <c r="C69" s="24"/>
      <c r="D69" s="24"/>
      <c r="E69" s="24"/>
      <c r="P69" s="26"/>
      <c r="R69" s="10"/>
      <c r="S69" s="10"/>
      <c r="T69" s="10"/>
    </row>
    <row r="70" spans="1:27">
      <c r="A70" s="24"/>
      <c r="B70" s="24"/>
      <c r="C70" s="24"/>
      <c r="D70" s="24"/>
      <c r="E70" s="24"/>
      <c r="P70" s="26"/>
      <c r="R70" s="10"/>
      <c r="S70" s="10"/>
      <c r="T70" s="10"/>
    </row>
    <row r="71" spans="1:27">
      <c r="A71" s="24"/>
      <c r="B71" s="24"/>
      <c r="C71" s="24"/>
      <c r="D71" s="24"/>
      <c r="E71" s="24"/>
      <c r="P71" s="26"/>
      <c r="R71" s="10"/>
      <c r="S71" s="10"/>
      <c r="T71" s="10"/>
    </row>
    <row r="72" spans="1:27">
      <c r="A72" s="24"/>
      <c r="B72" s="24"/>
      <c r="C72" s="24"/>
      <c r="D72" s="24"/>
      <c r="E72" s="24"/>
      <c r="P72" s="26"/>
      <c r="R72" s="10"/>
      <c r="S72" s="10"/>
      <c r="T72" s="10"/>
    </row>
    <row r="73" spans="1:27">
      <c r="A73" s="24"/>
      <c r="B73" s="24"/>
      <c r="C73" s="24"/>
      <c r="D73" s="24"/>
      <c r="E73" s="24"/>
      <c r="P73" s="26"/>
      <c r="R73" s="10"/>
      <c r="S73" s="10"/>
      <c r="T73" s="10"/>
    </row>
    <row r="74" spans="1:27">
      <c r="A74" s="24"/>
      <c r="B74" s="24"/>
      <c r="C74" s="24"/>
      <c r="D74" s="24"/>
      <c r="E74" s="24"/>
      <c r="P74" s="26"/>
      <c r="R74" s="10"/>
      <c r="S74" s="10"/>
      <c r="T74" s="10"/>
    </row>
    <row r="75" spans="1:27">
      <c r="A75" s="24"/>
      <c r="B75" s="24"/>
      <c r="C75" s="24"/>
      <c r="D75" s="24"/>
      <c r="E75" s="24"/>
      <c r="P75" s="26"/>
      <c r="R75" s="10"/>
      <c r="S75" s="10"/>
      <c r="T75" s="10"/>
    </row>
    <row r="76" spans="1:27">
      <c r="A76" s="24"/>
      <c r="B76" s="24"/>
      <c r="C76" s="24"/>
      <c r="D76" s="24"/>
      <c r="E76" s="24"/>
      <c r="P76" s="26"/>
      <c r="R76" s="10"/>
      <c r="S76" s="10"/>
      <c r="T76" s="10"/>
    </row>
    <row r="77" s="21" customFormat="1" spans="1:27">
      <c r="A77" s="27"/>
      <c r="B77" s="27"/>
      <c r="C77" s="24"/>
      <c r="D77" s="24"/>
      <c r="E77" s="27"/>
      <c r="G77" s="20"/>
      <c r="H77" s="20"/>
      <c r="I77" s="20"/>
      <c r="J77" s="20"/>
      <c r="K77" s="20"/>
      <c r="L77" s="20"/>
      <c r="M77" s="20"/>
      <c r="N77" s="20"/>
      <c r="O77" s="20"/>
      <c r="P77" s="26"/>
      <c r="R77" s="10"/>
      <c r="S77" s="10"/>
      <c r="T77" s="10"/>
      <c r="Y77" s="28"/>
      <c r="Z77" s="28"/>
      <c r="AA77" s="28"/>
    </row>
    <row r="78" s="21" customFormat="1" spans="1:27">
      <c r="A78" s="27"/>
      <c r="B78" s="27"/>
      <c r="C78" s="24"/>
      <c r="D78" s="24"/>
      <c r="E78" s="27"/>
      <c r="G78" s="20"/>
      <c r="H78" s="20"/>
      <c r="I78" s="20"/>
      <c r="J78" s="20"/>
      <c r="K78" s="20"/>
      <c r="L78" s="20"/>
      <c r="M78" s="20"/>
      <c r="N78" s="20"/>
      <c r="O78" s="20"/>
      <c r="P78" s="26"/>
      <c r="R78" s="10"/>
      <c r="S78" s="10"/>
      <c r="T78" s="10"/>
      <c r="Y78" s="28"/>
      <c r="Z78" s="28"/>
      <c r="AA78" s="28"/>
    </row>
    <row r="79" s="21" customFormat="1" spans="1:27">
      <c r="A79" s="27"/>
      <c r="B79" s="27"/>
      <c r="C79" s="24"/>
      <c r="D79" s="24"/>
      <c r="E79" s="27"/>
      <c r="G79" s="20"/>
      <c r="H79" s="20"/>
      <c r="I79" s="20"/>
      <c r="J79" s="20"/>
      <c r="K79" s="20"/>
      <c r="L79" s="20"/>
      <c r="M79" s="20"/>
      <c r="N79" s="20"/>
      <c r="O79" s="20"/>
      <c r="P79" s="26"/>
      <c r="R79" s="10"/>
      <c r="S79" s="10"/>
      <c r="T79" s="10"/>
      <c r="Y79" s="28"/>
      <c r="Z79" s="28"/>
      <c r="AA79" s="28"/>
    </row>
    <row r="80" s="21" customFormat="1" spans="1:27">
      <c r="A80" s="27"/>
      <c r="B80" s="27"/>
      <c r="C80" s="24"/>
      <c r="D80" s="24"/>
      <c r="E80" s="27"/>
      <c r="G80" s="20"/>
      <c r="H80" s="20"/>
      <c r="I80" s="20"/>
      <c r="J80" s="20"/>
      <c r="K80" s="20"/>
      <c r="L80" s="20"/>
      <c r="M80" s="20"/>
      <c r="N80" s="20"/>
      <c r="O80" s="20"/>
      <c r="P80" s="26"/>
      <c r="R80" s="10"/>
      <c r="S80" s="10"/>
      <c r="T80" s="10"/>
      <c r="Y80" s="28"/>
      <c r="Z80" s="28"/>
      <c r="AA80" s="28"/>
    </row>
    <row r="81" s="21" customFormat="1" spans="1:27">
      <c r="A81" s="27"/>
      <c r="B81" s="27"/>
      <c r="C81" s="24"/>
      <c r="D81" s="24"/>
      <c r="E81" s="27"/>
      <c r="G81" s="20"/>
      <c r="H81" s="20"/>
      <c r="I81" s="20"/>
      <c r="J81" s="20"/>
      <c r="K81" s="20"/>
      <c r="L81" s="20"/>
      <c r="M81" s="20"/>
      <c r="N81" s="20"/>
      <c r="O81" s="20"/>
      <c r="P81" s="26"/>
      <c r="R81" s="10"/>
      <c r="S81" s="10"/>
      <c r="T81" s="10"/>
      <c r="Y81" s="28"/>
      <c r="Z81" s="28"/>
      <c r="AA81" s="28"/>
    </row>
    <row r="82" s="21" customFormat="1" spans="1:27">
      <c r="A82" s="27"/>
      <c r="B82" s="27"/>
      <c r="C82" s="24"/>
      <c r="D82" s="24"/>
      <c r="E82" s="27"/>
      <c r="G82" s="20"/>
      <c r="H82" s="20"/>
      <c r="I82" s="20"/>
      <c r="J82" s="20"/>
      <c r="K82" s="20"/>
      <c r="L82" s="20"/>
      <c r="M82" s="20"/>
      <c r="N82" s="20"/>
      <c r="O82" s="20"/>
      <c r="P82" s="26"/>
      <c r="R82" s="10"/>
      <c r="S82" s="10"/>
      <c r="T82" s="10"/>
      <c r="Y82" s="28"/>
      <c r="Z82" s="28"/>
      <c r="AA82" s="28"/>
    </row>
    <row r="83" s="21" customFormat="1" spans="1:27">
      <c r="A83" s="27"/>
      <c r="B83" s="27"/>
      <c r="C83" s="24"/>
      <c r="D83" s="24"/>
      <c r="E83" s="27"/>
      <c r="G83" s="20"/>
      <c r="H83" s="20"/>
      <c r="I83" s="20"/>
      <c r="J83" s="20"/>
      <c r="K83" s="20"/>
      <c r="L83" s="20"/>
      <c r="M83" s="20"/>
      <c r="N83" s="20"/>
      <c r="O83" s="20"/>
      <c r="P83" s="26"/>
      <c r="R83" s="10"/>
      <c r="S83" s="10"/>
      <c r="T83" s="10"/>
      <c r="Y83" s="28"/>
      <c r="Z83" s="28"/>
      <c r="AA83" s="28"/>
    </row>
    <row r="84" s="21" customFormat="1" spans="1:27">
      <c r="A84" s="27"/>
      <c r="B84" s="27"/>
      <c r="C84" s="24"/>
      <c r="D84" s="24"/>
      <c r="E84" s="27"/>
      <c r="G84" s="20"/>
      <c r="H84" s="20"/>
      <c r="I84" s="20"/>
      <c r="J84" s="20"/>
      <c r="K84" s="20"/>
      <c r="L84" s="20"/>
      <c r="M84" s="20"/>
      <c r="N84" s="20"/>
      <c r="O84" s="20"/>
      <c r="P84" s="26"/>
      <c r="R84" s="10"/>
      <c r="S84" s="10"/>
      <c r="T84" s="10"/>
      <c r="Y84" s="28"/>
      <c r="Z84" s="28"/>
      <c r="AA84" s="28"/>
    </row>
    <row r="85" s="21" customFormat="1" spans="1:27">
      <c r="A85" s="27"/>
      <c r="B85" s="27"/>
      <c r="C85" s="24"/>
      <c r="D85" s="24"/>
      <c r="E85" s="27"/>
      <c r="G85" s="20"/>
      <c r="H85" s="20"/>
      <c r="I85" s="20"/>
      <c r="J85" s="20"/>
      <c r="K85" s="20"/>
      <c r="L85" s="20"/>
      <c r="M85" s="20"/>
      <c r="N85" s="20"/>
      <c r="O85" s="20"/>
      <c r="P85" s="26"/>
      <c r="R85" s="10"/>
      <c r="S85" s="10"/>
      <c r="T85" s="10"/>
      <c r="Y85" s="28"/>
      <c r="Z85" s="28"/>
      <c r="AA85" s="28"/>
    </row>
    <row r="86" spans="1:27">
      <c r="A86" s="24"/>
      <c r="B86" s="24"/>
      <c r="C86" s="24"/>
      <c r="D86" s="24"/>
      <c r="E86" s="24"/>
      <c r="P86" s="26"/>
      <c r="R86" s="10"/>
      <c r="S86" s="10"/>
      <c r="T86" s="10"/>
    </row>
    <row r="87" spans="1:27">
      <c r="A87" s="24"/>
      <c r="B87" s="24"/>
      <c r="C87" s="24"/>
      <c r="D87" s="24"/>
      <c r="E87" s="24"/>
      <c r="P87" s="26"/>
      <c r="R87" s="10"/>
      <c r="S87" s="10"/>
      <c r="T87" s="10"/>
    </row>
    <row r="88" spans="1:27">
      <c r="A88" s="24"/>
      <c r="B88" s="24"/>
      <c r="C88" s="24"/>
      <c r="D88" s="24"/>
      <c r="E88" s="24"/>
      <c r="P88" s="26"/>
      <c r="R88" s="10"/>
      <c r="S88" s="10"/>
      <c r="T88" s="10"/>
    </row>
    <row r="89" spans="1:27">
      <c r="A89" s="24"/>
      <c r="B89" s="24"/>
      <c r="C89" s="24"/>
      <c r="D89" s="24"/>
      <c r="E89" s="24"/>
      <c r="P89" s="26"/>
      <c r="R89" s="10"/>
      <c r="S89" s="10"/>
      <c r="T89" s="10"/>
    </row>
    <row r="90" spans="1:27">
      <c r="A90" s="24"/>
      <c r="B90" s="24"/>
      <c r="C90" s="24"/>
      <c r="D90" s="24"/>
      <c r="E90" s="24"/>
      <c r="P90" s="26"/>
      <c r="R90" s="10"/>
      <c r="S90" s="10"/>
      <c r="T90" s="10"/>
    </row>
    <row r="91" spans="1:27">
      <c r="A91" s="24"/>
      <c r="B91" s="24"/>
      <c r="C91" s="24"/>
      <c r="D91" s="24"/>
      <c r="E91" s="24"/>
      <c r="P91" s="26"/>
      <c r="R91" s="10"/>
      <c r="S91" s="10"/>
      <c r="T91" s="10"/>
    </row>
    <row r="92" spans="1:27">
      <c r="A92" s="24"/>
      <c r="B92" s="24"/>
      <c r="C92" s="24"/>
      <c r="D92" s="24"/>
      <c r="E92" s="24"/>
      <c r="P92" s="26"/>
      <c r="R92" s="10"/>
      <c r="S92" s="10"/>
      <c r="T92" s="10"/>
    </row>
    <row r="93" spans="1:27">
      <c r="A93" s="24"/>
      <c r="B93" s="24"/>
      <c r="C93" s="24"/>
      <c r="D93" s="24"/>
      <c r="E93" s="24"/>
      <c r="P93" s="26"/>
      <c r="R93" s="10"/>
      <c r="S93" s="10"/>
      <c r="T93" s="10"/>
    </row>
    <row r="94" spans="1:27">
      <c r="A94" s="24"/>
      <c r="B94" s="24"/>
      <c r="C94" s="24"/>
      <c r="D94" s="24"/>
      <c r="E94" s="24"/>
      <c r="P94" s="26"/>
      <c r="R94" s="10"/>
      <c r="S94" s="10"/>
      <c r="T94" s="10"/>
    </row>
    <row r="95" spans="1:27">
      <c r="A95" s="24"/>
      <c r="B95" s="24"/>
      <c r="C95" s="24"/>
      <c r="D95" s="24"/>
      <c r="E95" s="24"/>
      <c r="P95" s="26"/>
      <c r="R95" s="10"/>
      <c r="S95" s="10"/>
      <c r="T95" s="10"/>
    </row>
    <row r="96" spans="1:27">
      <c r="A96" s="24"/>
      <c r="B96" s="24"/>
      <c r="C96" s="24"/>
      <c r="D96" s="24"/>
      <c r="E96" s="24"/>
      <c r="P96" s="26"/>
      <c r="R96" s="10"/>
      <c r="S96" s="10"/>
      <c r="T96" s="10"/>
    </row>
    <row r="97" spans="1:27">
      <c r="A97" s="24"/>
      <c r="B97" s="24"/>
      <c r="C97" s="24"/>
      <c r="D97" s="24"/>
      <c r="E97" s="24"/>
      <c r="P97" s="26"/>
      <c r="R97" s="10"/>
      <c r="S97" s="10"/>
      <c r="T97" s="10"/>
    </row>
    <row r="98" spans="1:27">
      <c r="A98" s="24"/>
      <c r="B98" s="24"/>
      <c r="C98" s="24"/>
      <c r="D98" s="24"/>
      <c r="E98" s="24"/>
      <c r="P98" s="26"/>
      <c r="R98" s="10"/>
      <c r="S98" s="10"/>
      <c r="T98" s="10"/>
    </row>
    <row r="99" spans="1:27">
      <c r="A99" s="24"/>
      <c r="B99" s="24"/>
      <c r="C99" s="24"/>
      <c r="D99" s="24"/>
      <c r="E99" s="24"/>
      <c r="P99" s="26"/>
      <c r="R99" s="10"/>
      <c r="S99" s="10"/>
      <c r="T99" s="10"/>
    </row>
    <row r="100" spans="1:27">
      <c r="A100" s="24"/>
      <c r="B100" s="24"/>
      <c r="C100" s="24"/>
      <c r="D100" s="24"/>
      <c r="E100" s="24"/>
      <c r="P100" s="26"/>
      <c r="R100" s="10"/>
      <c r="S100" s="10"/>
      <c r="T100" s="10"/>
    </row>
    <row r="101" spans="1:27">
      <c r="A101" s="24"/>
      <c r="B101" s="24"/>
      <c r="C101" s="24"/>
      <c r="D101" s="24"/>
      <c r="E101" s="24"/>
      <c r="P101" s="26"/>
      <c r="R101" s="10"/>
      <c r="S101" s="10"/>
      <c r="T101" s="10"/>
    </row>
    <row r="102" spans="1:27">
      <c r="A102" s="24"/>
      <c r="B102" s="24"/>
      <c r="C102" s="24"/>
      <c r="D102" s="24"/>
      <c r="E102" s="24"/>
      <c r="P102" s="26"/>
      <c r="R102" s="10"/>
      <c r="S102" s="10"/>
      <c r="T102" s="10"/>
    </row>
    <row r="103" spans="1:27">
      <c r="A103" s="24"/>
      <c r="B103" s="24"/>
      <c r="C103" s="24"/>
      <c r="D103" s="24"/>
      <c r="E103" s="24"/>
      <c r="P103" s="26"/>
      <c r="R103" s="10"/>
      <c r="S103" s="10"/>
      <c r="T103" s="10"/>
    </row>
    <row r="104" spans="1:27">
      <c r="A104" s="24"/>
      <c r="B104" s="24"/>
      <c r="C104" s="24"/>
      <c r="D104" s="24"/>
      <c r="E104" s="24"/>
      <c r="P104" s="26"/>
      <c r="R104" s="10"/>
      <c r="S104" s="10"/>
      <c r="T104" s="10"/>
    </row>
    <row r="105" s="21" customFormat="1" spans="1:27">
      <c r="A105" s="27"/>
      <c r="B105" s="27"/>
      <c r="C105" s="24"/>
      <c r="D105" s="24"/>
      <c r="E105" s="27"/>
      <c r="G105" s="20"/>
      <c r="H105" s="20"/>
      <c r="I105" s="20"/>
      <c r="J105" s="20"/>
      <c r="K105" s="20"/>
      <c r="L105" s="20"/>
      <c r="M105" s="20"/>
      <c r="N105" s="20"/>
      <c r="O105" s="20"/>
      <c r="P105" s="26"/>
      <c r="R105" s="10"/>
      <c r="S105" s="10"/>
      <c r="T105" s="10"/>
      <c r="Y105" s="28"/>
      <c r="Z105" s="28"/>
      <c r="AA105" s="28"/>
    </row>
    <row r="106" s="21" customFormat="1" spans="1:27">
      <c r="A106" s="27"/>
      <c r="B106" s="27"/>
      <c r="C106" s="24"/>
      <c r="D106" s="24"/>
      <c r="E106" s="27"/>
      <c r="G106" s="20"/>
      <c r="H106" s="20"/>
      <c r="I106" s="20"/>
      <c r="J106" s="20"/>
      <c r="K106" s="20"/>
      <c r="L106" s="20"/>
      <c r="M106" s="20"/>
      <c r="N106" s="20"/>
      <c r="O106" s="20"/>
      <c r="P106" s="26"/>
      <c r="R106" s="10"/>
      <c r="S106" s="10"/>
      <c r="T106" s="10"/>
      <c r="Y106" s="28"/>
      <c r="Z106" s="28"/>
      <c r="AA106" s="28"/>
    </row>
    <row r="107" s="21" customFormat="1" spans="1:27">
      <c r="A107" s="27"/>
      <c r="B107" s="27"/>
      <c r="C107" s="24"/>
      <c r="D107" s="24"/>
      <c r="E107" s="27"/>
      <c r="G107" s="20"/>
      <c r="H107" s="20"/>
      <c r="I107" s="20"/>
      <c r="J107" s="20"/>
      <c r="K107" s="20"/>
      <c r="L107" s="20"/>
      <c r="M107" s="20"/>
      <c r="N107" s="20"/>
      <c r="O107" s="20"/>
      <c r="P107" s="26"/>
      <c r="R107" s="10"/>
      <c r="S107" s="10"/>
      <c r="T107" s="10"/>
      <c r="Y107" s="28"/>
      <c r="Z107" s="28"/>
      <c r="AA107" s="28"/>
    </row>
    <row r="108" s="21" customFormat="1" spans="1:27">
      <c r="A108" s="27"/>
      <c r="B108" s="27"/>
      <c r="C108" s="24"/>
      <c r="D108" s="24"/>
      <c r="E108" s="27"/>
      <c r="G108" s="20"/>
      <c r="H108" s="20"/>
      <c r="I108" s="20"/>
      <c r="J108" s="20"/>
      <c r="K108" s="20"/>
      <c r="L108" s="20"/>
      <c r="M108" s="20"/>
      <c r="N108" s="20"/>
      <c r="O108" s="20"/>
      <c r="P108" s="26"/>
      <c r="R108" s="10"/>
      <c r="S108" s="10"/>
      <c r="T108" s="10"/>
      <c r="Y108" s="28"/>
      <c r="Z108" s="28"/>
      <c r="AA108" s="28"/>
    </row>
    <row r="109" s="21" customFormat="1" spans="1:27">
      <c r="A109" s="27"/>
      <c r="B109" s="27"/>
      <c r="C109" s="24"/>
      <c r="D109" s="24"/>
      <c r="E109" s="27"/>
      <c r="G109" s="20"/>
      <c r="H109" s="20"/>
      <c r="I109" s="20"/>
      <c r="J109" s="20"/>
      <c r="K109" s="20"/>
      <c r="L109" s="20"/>
      <c r="M109" s="20"/>
      <c r="N109" s="20"/>
      <c r="O109" s="20"/>
      <c r="P109" s="26"/>
      <c r="R109" s="10"/>
      <c r="S109" s="10"/>
      <c r="T109" s="10"/>
      <c r="Y109" s="28"/>
      <c r="Z109" s="28"/>
      <c r="AA109" s="28"/>
    </row>
    <row r="110" s="21" customFormat="1" spans="1:27">
      <c r="A110" s="27"/>
      <c r="B110" s="27"/>
      <c r="C110" s="24"/>
      <c r="D110" s="24"/>
      <c r="E110" s="27"/>
      <c r="G110" s="20"/>
      <c r="H110" s="20"/>
      <c r="I110" s="20"/>
      <c r="J110" s="20"/>
      <c r="K110" s="20"/>
      <c r="L110" s="20"/>
      <c r="M110" s="20"/>
      <c r="N110" s="20"/>
      <c r="O110" s="20"/>
      <c r="P110" s="26"/>
      <c r="R110" s="10"/>
      <c r="S110" s="10"/>
      <c r="T110" s="10"/>
      <c r="Y110" s="28"/>
      <c r="Z110" s="28"/>
      <c r="AA110" s="28"/>
    </row>
    <row r="111" s="21" customFormat="1" spans="1:27">
      <c r="A111" s="27"/>
      <c r="B111" s="27"/>
      <c r="C111" s="24"/>
      <c r="D111" s="24"/>
      <c r="E111" s="27"/>
      <c r="G111" s="20"/>
      <c r="H111" s="20"/>
      <c r="I111" s="20"/>
      <c r="J111" s="20"/>
      <c r="K111" s="20"/>
      <c r="L111" s="20"/>
      <c r="M111" s="20"/>
      <c r="N111" s="20"/>
      <c r="O111" s="20"/>
      <c r="P111" s="26"/>
      <c r="R111" s="10"/>
      <c r="S111" s="10"/>
      <c r="T111" s="10"/>
      <c r="Y111" s="28"/>
      <c r="Z111" s="28"/>
      <c r="AA111" s="28"/>
    </row>
    <row r="112" s="21" customFormat="1" spans="1:27">
      <c r="A112" s="27"/>
      <c r="B112" s="27"/>
      <c r="C112" s="24"/>
      <c r="D112" s="24"/>
      <c r="E112" s="27"/>
      <c r="G112" s="20"/>
      <c r="H112" s="20"/>
      <c r="I112" s="20"/>
      <c r="J112" s="20"/>
      <c r="K112" s="20"/>
      <c r="L112" s="20"/>
      <c r="M112" s="20"/>
      <c r="N112" s="20"/>
      <c r="O112" s="20"/>
      <c r="P112" s="26"/>
      <c r="R112" s="10"/>
      <c r="S112" s="10"/>
      <c r="T112" s="10"/>
      <c r="Y112" s="28"/>
      <c r="Z112" s="28"/>
      <c r="AA112" s="28"/>
    </row>
    <row r="113" s="21" customFormat="1" spans="1:27">
      <c r="A113" s="27"/>
      <c r="B113" s="27"/>
      <c r="C113" s="24"/>
      <c r="D113" s="24"/>
      <c r="E113" s="27"/>
      <c r="G113" s="20"/>
      <c r="H113" s="20"/>
      <c r="I113" s="20"/>
      <c r="J113" s="20"/>
      <c r="K113" s="20"/>
      <c r="L113" s="20"/>
      <c r="M113" s="20"/>
      <c r="N113" s="20"/>
      <c r="O113" s="20"/>
      <c r="P113" s="26"/>
      <c r="R113" s="10"/>
      <c r="S113" s="10"/>
      <c r="T113" s="10"/>
      <c r="Y113" s="28"/>
      <c r="Z113" s="28"/>
      <c r="AA113" s="28"/>
    </row>
    <row r="114" spans="1:27">
      <c r="A114" s="24"/>
      <c r="B114" s="24"/>
      <c r="C114" s="24"/>
      <c r="D114" s="24"/>
      <c r="E114" s="24"/>
      <c r="P114" s="26"/>
      <c r="R114" s="10"/>
      <c r="S114" s="10"/>
      <c r="T114" s="10"/>
    </row>
    <row r="115" spans="1:27">
      <c r="A115" s="24"/>
      <c r="B115" s="24"/>
      <c r="C115" s="24"/>
      <c r="D115" s="24"/>
      <c r="E115" s="24"/>
      <c r="P115" s="26"/>
      <c r="R115" s="10"/>
      <c r="S115" s="10"/>
      <c r="T115" s="10"/>
    </row>
    <row r="116" spans="1:27">
      <c r="A116" s="24"/>
      <c r="B116" s="24"/>
      <c r="C116" s="24"/>
      <c r="D116" s="24"/>
      <c r="E116" s="24"/>
      <c r="P116" s="26"/>
      <c r="R116" s="10"/>
      <c r="S116" s="10"/>
      <c r="T116" s="10"/>
    </row>
    <row r="117" spans="1:27">
      <c r="A117" s="24"/>
      <c r="B117" s="24"/>
      <c r="C117" s="24"/>
      <c r="D117" s="24"/>
      <c r="E117" s="24"/>
      <c r="P117" s="26"/>
      <c r="R117" s="10"/>
      <c r="S117" s="10"/>
      <c r="T117" s="10"/>
    </row>
    <row r="118" spans="1:27">
      <c r="A118" s="24"/>
      <c r="B118" s="24"/>
      <c r="C118" s="24"/>
      <c r="D118" s="24"/>
      <c r="E118" s="24"/>
      <c r="P118" s="26"/>
      <c r="R118" s="10"/>
      <c r="S118" s="10"/>
      <c r="T118" s="10"/>
    </row>
    <row r="119" spans="1:27">
      <c r="A119" s="24"/>
      <c r="B119" s="24"/>
      <c r="C119" s="24"/>
      <c r="D119" s="24"/>
      <c r="E119" s="24"/>
      <c r="P119" s="26"/>
      <c r="R119" s="10"/>
      <c r="S119" s="10"/>
      <c r="T119" s="10"/>
    </row>
    <row r="120" spans="1:27">
      <c r="A120" s="24"/>
      <c r="B120" s="24"/>
      <c r="C120" s="24"/>
      <c r="D120" s="24"/>
      <c r="E120" s="24"/>
      <c r="P120" s="26"/>
      <c r="R120" s="10"/>
      <c r="S120" s="10"/>
      <c r="T120" s="10"/>
    </row>
    <row r="121" spans="1:27">
      <c r="A121" s="24"/>
      <c r="B121" s="24"/>
      <c r="C121" s="24"/>
      <c r="D121" s="24"/>
      <c r="E121" s="24"/>
      <c r="P121" s="26"/>
      <c r="R121" s="10"/>
      <c r="S121" s="10"/>
      <c r="T121" s="10"/>
    </row>
    <row r="122" spans="1:27">
      <c r="A122" s="24"/>
      <c r="B122" s="24"/>
      <c r="C122" s="24"/>
      <c r="D122" s="24"/>
      <c r="E122" s="24"/>
      <c r="P122" s="26"/>
      <c r="R122" s="10"/>
      <c r="S122" s="10"/>
      <c r="T122" s="10"/>
    </row>
    <row r="123" spans="1:27">
      <c r="A123" s="24"/>
      <c r="B123" s="24"/>
      <c r="C123" s="24"/>
      <c r="D123" s="24"/>
      <c r="E123" s="24"/>
      <c r="P123" s="26"/>
      <c r="R123" s="10"/>
      <c r="S123" s="10"/>
      <c r="T123" s="10"/>
    </row>
    <row r="124" spans="1:27">
      <c r="A124" s="24"/>
      <c r="B124" s="24"/>
      <c r="C124" s="24"/>
      <c r="D124" s="24"/>
      <c r="E124" s="24"/>
      <c r="P124" s="26"/>
      <c r="R124" s="10"/>
      <c r="S124" s="10"/>
      <c r="T124" s="10"/>
    </row>
    <row r="125" spans="1:27">
      <c r="A125" s="24"/>
      <c r="B125" s="24"/>
      <c r="C125" s="24"/>
      <c r="D125" s="24"/>
      <c r="E125" s="24"/>
      <c r="P125" s="26"/>
      <c r="R125" s="10"/>
      <c r="S125" s="10"/>
      <c r="T125" s="10"/>
    </row>
    <row r="126" spans="1:27">
      <c r="A126" s="24"/>
      <c r="B126" s="24"/>
      <c r="C126" s="24"/>
      <c r="D126" s="24"/>
      <c r="E126" s="24"/>
      <c r="P126" s="26"/>
      <c r="R126" s="10"/>
      <c r="S126" s="10"/>
      <c r="T126" s="10"/>
    </row>
    <row r="127" spans="1:27">
      <c r="A127" s="24"/>
      <c r="B127" s="24"/>
      <c r="C127" s="24"/>
      <c r="D127" s="24"/>
      <c r="E127" s="24"/>
      <c r="P127" s="26"/>
      <c r="R127" s="10"/>
      <c r="S127" s="10"/>
      <c r="T127" s="10"/>
    </row>
    <row r="128" spans="1:27">
      <c r="A128" s="24"/>
      <c r="B128" s="24"/>
      <c r="C128" s="24"/>
      <c r="D128" s="24"/>
      <c r="E128" s="24"/>
      <c r="P128" s="26"/>
      <c r="R128" s="10"/>
      <c r="S128" s="10"/>
      <c r="T128" s="10"/>
    </row>
    <row r="129" spans="1:33">
      <c r="A129" s="24"/>
      <c r="B129" s="24"/>
      <c r="C129" s="24"/>
      <c r="D129" s="24"/>
      <c r="E129" s="24"/>
      <c r="P129" s="26"/>
      <c r="R129" s="10"/>
      <c r="S129" s="10"/>
      <c r="T129" s="10"/>
    </row>
    <row r="130" spans="1:33">
      <c r="A130" s="24"/>
      <c r="B130" s="24"/>
      <c r="C130" s="24"/>
      <c r="D130" s="24"/>
      <c r="E130" s="24"/>
      <c r="P130" s="26"/>
      <c r="R130" s="10"/>
      <c r="S130" s="10"/>
      <c r="T130" s="10"/>
    </row>
    <row r="131" spans="1:33">
      <c r="A131" s="24"/>
      <c r="B131" s="24"/>
      <c r="C131" s="24"/>
      <c r="D131" s="24"/>
      <c r="E131" s="24"/>
      <c r="P131" s="26"/>
      <c r="R131" s="10"/>
      <c r="S131" s="10"/>
      <c r="T131" s="10"/>
    </row>
    <row r="132" spans="1:33">
      <c r="A132" s="24"/>
      <c r="B132" s="24"/>
      <c r="C132" s="24"/>
      <c r="D132" s="24"/>
      <c r="E132" s="24"/>
      <c r="P132" s="26"/>
      <c r="R132" s="10"/>
      <c r="S132" s="10"/>
      <c r="T132" s="10"/>
    </row>
    <row r="133" s="21" customFormat="1" spans="1:33">
      <c r="A133" s="27"/>
      <c r="B133" s="27"/>
      <c r="C133" s="24"/>
      <c r="D133" s="24"/>
      <c r="E133" s="27"/>
      <c r="G133" s="20"/>
      <c r="H133" s="20"/>
      <c r="I133" s="20"/>
      <c r="J133" s="20"/>
      <c r="K133" s="20"/>
      <c r="L133" s="20"/>
      <c r="M133" s="20"/>
      <c r="N133" s="20"/>
      <c r="O133" s="20"/>
      <c r="P133" s="26"/>
      <c r="R133" s="10"/>
      <c r="S133" s="10"/>
      <c r="T133" s="10"/>
    </row>
    <row r="134" s="21" customFormat="1" spans="1:33">
      <c r="A134" s="27"/>
      <c r="B134" s="27"/>
      <c r="C134" s="24"/>
      <c r="D134" s="24"/>
      <c r="E134" s="27"/>
      <c r="G134" s="20"/>
      <c r="H134" s="20"/>
      <c r="I134" s="20"/>
      <c r="J134" s="20"/>
      <c r="K134" s="20"/>
      <c r="L134" s="20"/>
      <c r="M134" s="20"/>
      <c r="N134" s="20"/>
      <c r="O134" s="20"/>
      <c r="P134" s="26"/>
      <c r="R134" s="10"/>
      <c r="S134" s="10"/>
      <c r="T134" s="10"/>
    </row>
    <row r="135" s="21" customFormat="1" spans="1:33">
      <c r="A135" s="27"/>
      <c r="B135" s="27"/>
      <c r="C135" s="24"/>
      <c r="D135" s="24"/>
      <c r="E135" s="27"/>
      <c r="G135" s="20"/>
      <c r="H135" s="20"/>
      <c r="I135" s="20"/>
      <c r="J135" s="20"/>
      <c r="K135" s="20"/>
      <c r="L135" s="20"/>
      <c r="M135" s="20"/>
      <c r="N135" s="20"/>
      <c r="O135" s="20"/>
      <c r="P135" s="26"/>
      <c r="R135" s="10"/>
      <c r="S135" s="10"/>
      <c r="T135" s="10"/>
    </row>
    <row r="136" s="21" customFormat="1" spans="1:33">
      <c r="A136" s="27"/>
      <c r="B136" s="27"/>
      <c r="C136" s="24"/>
      <c r="D136" s="24"/>
      <c r="E136" s="27"/>
      <c r="G136" s="20"/>
      <c r="H136" s="20"/>
      <c r="I136" s="20"/>
      <c r="J136" s="20"/>
      <c r="K136" s="20"/>
      <c r="L136" s="20"/>
      <c r="M136" s="20"/>
      <c r="N136" s="20"/>
      <c r="O136" s="20"/>
      <c r="P136" s="26"/>
      <c r="R136" s="10"/>
      <c r="S136" s="10"/>
      <c r="T136" s="10"/>
    </row>
    <row r="137" s="21" customFormat="1" spans="1:33">
      <c r="A137" s="27"/>
      <c r="B137" s="27"/>
      <c r="C137" s="24"/>
      <c r="D137" s="24"/>
      <c r="E137" s="27"/>
      <c r="G137" s="20"/>
      <c r="H137" s="20"/>
      <c r="I137" s="20"/>
      <c r="J137" s="20"/>
      <c r="K137" s="20"/>
      <c r="L137" s="20"/>
      <c r="M137" s="20"/>
      <c r="N137" s="20"/>
      <c r="O137" s="20"/>
      <c r="P137" s="26"/>
      <c r="R137" s="10"/>
      <c r="S137" s="10"/>
      <c r="T137" s="10"/>
    </row>
    <row r="138" s="21" customFormat="1" spans="1:33">
      <c r="A138" s="27"/>
      <c r="B138" s="27"/>
      <c r="C138" s="24"/>
      <c r="D138" s="24"/>
      <c r="E138" s="27"/>
      <c r="G138" s="20"/>
      <c r="H138" s="20"/>
      <c r="I138" s="20"/>
      <c r="J138" s="20"/>
      <c r="K138" s="20"/>
      <c r="L138" s="20"/>
      <c r="M138" s="20"/>
      <c r="N138" s="20"/>
      <c r="O138" s="20"/>
      <c r="P138" s="26"/>
      <c r="R138" s="10"/>
      <c r="S138" s="10"/>
      <c r="T138" s="10"/>
    </row>
    <row r="139" s="21" customFormat="1" spans="1:33">
      <c r="A139" s="27"/>
      <c r="B139" s="27"/>
      <c r="C139" s="24"/>
      <c r="D139" s="24"/>
      <c r="E139" s="27"/>
      <c r="G139" s="20"/>
      <c r="H139" s="20"/>
      <c r="I139" s="20"/>
      <c r="J139" s="20"/>
      <c r="K139" s="20"/>
      <c r="L139" s="20"/>
      <c r="M139" s="20"/>
      <c r="N139" s="20"/>
      <c r="O139" s="20"/>
      <c r="P139" s="26"/>
      <c r="R139" s="10"/>
      <c r="S139" s="10"/>
      <c r="T139" s="10"/>
    </row>
    <row r="140" s="21" customFormat="1" spans="1:33">
      <c r="A140" s="27"/>
      <c r="B140" s="27"/>
      <c r="C140" s="24"/>
      <c r="D140" s="24"/>
      <c r="E140" s="27"/>
      <c r="G140" s="20"/>
      <c r="H140" s="20"/>
      <c r="I140" s="20"/>
      <c r="J140" s="20"/>
      <c r="K140" s="20"/>
      <c r="L140" s="20"/>
      <c r="M140" s="20"/>
      <c r="N140" s="20"/>
      <c r="O140" s="20"/>
      <c r="P140" s="26"/>
      <c r="R140" s="10"/>
      <c r="S140" s="10"/>
      <c r="T140" s="10"/>
    </row>
    <row r="141" s="21" customFormat="1" spans="1:33">
      <c r="A141" s="27"/>
      <c r="B141" s="27"/>
      <c r="C141" s="24"/>
      <c r="D141" s="24"/>
      <c r="E141" s="27"/>
      <c r="G141" s="20"/>
      <c r="H141" s="20"/>
      <c r="I141" s="20"/>
      <c r="J141" s="20"/>
      <c r="K141" s="20"/>
      <c r="L141" s="20"/>
      <c r="M141" s="20"/>
      <c r="N141" s="20"/>
      <c r="O141" s="20"/>
      <c r="P141" s="26"/>
      <c r="R141" s="10"/>
      <c r="S141" s="10"/>
      <c r="T141" s="10"/>
    </row>
    <row r="142" spans="1:33">
      <c r="AD142" s="21" t="str" cm="1">
        <f t="array" ref="AD142">IFERROR(INDEX(商品管理!E:E,MATCH(B142,商品管理!A:A,0)),"")</f>
        <v/>
      </c>
      <c r="AE142" s="21" t="str" cm="1">
        <f t="array" ref="AE142">IFERROR(INDEX(商品管理!F:F,MATCH(B142,商品管理!A:A,0)),"")</f>
        <v/>
      </c>
      <c r="AF142" s="21" t="str" cm="1">
        <f t="array" ref="AF142">IFERROR(INDEX(FBA仓库代码表!G:G,MATCH(E142,FBA仓库代码表!B:B,0)),"")</f>
        <v/>
      </c>
      <c r="AG142" s="21" t="str" cm="1">
        <f t="array" ref="AG142">IFERROR(INDEX(FBA仓库代码表!H:H,MATCH(E142,FBA仓库代码表!B:B,0)),"")</f>
        <v/>
      </c>
    </row>
    <row r="143" spans="1:33">
      <c r="AD143" s="21" t="str" cm="1">
        <f t="array" ref="AD143">IFERROR(INDEX(商品管理!E:E,MATCH(B143,商品管理!A:A,0)),"")</f>
        <v/>
      </c>
      <c r="AE143" s="21" t="str" cm="1">
        <f t="array" ref="AE143">IFERROR(INDEX(商品管理!F:F,MATCH(B143,商品管理!A:A,0)),"")</f>
        <v/>
      </c>
      <c r="AF143" s="21" t="str" cm="1">
        <f t="array" ref="AF143">IFERROR(INDEX(FBA仓库代码表!G:G,MATCH(E143,FBA仓库代码表!B:B,0)),"")</f>
        <v/>
      </c>
      <c r="AG143" s="21" t="str" cm="1">
        <f t="array" ref="AG143">IFERROR(INDEX(FBA仓库代码表!H:H,MATCH(E143,FBA仓库代码表!B:B,0)),"")</f>
        <v/>
      </c>
    </row>
    <row r="144" spans="1:33">
      <c r="AD144" s="21" t="str" cm="1">
        <f t="array" ref="AD144">IFERROR(INDEX(商品管理!E:E,MATCH(B144,商品管理!A:A,0)),"")</f>
        <v/>
      </c>
      <c r="AE144" s="21" t="str" cm="1">
        <f t="array" ref="AE144">IFERROR(INDEX(商品管理!F:F,MATCH(B144,商品管理!A:A,0)),"")</f>
        <v/>
      </c>
      <c r="AF144" s="21" t="str" cm="1">
        <f t="array" ref="AF144">IFERROR(INDEX(FBA仓库代码表!G:G,MATCH(E144,FBA仓库代码表!B:B,0)),"")</f>
        <v/>
      </c>
      <c r="AG144" s="21" t="str" cm="1">
        <f t="array" ref="AG144">IFERROR(INDEX(FBA仓库代码表!H:H,MATCH(E144,FBA仓库代码表!B:B,0)),"")</f>
        <v/>
      </c>
    </row>
    <row r="145" spans="30:33">
      <c r="AD145" s="21" t="str" cm="1">
        <f t="array" ref="AD145">IFERROR(INDEX(商品管理!E:E,MATCH(B145,商品管理!A:A,0)),"")</f>
        <v/>
      </c>
      <c r="AE145" s="21" t="str" cm="1">
        <f t="array" ref="AE145">IFERROR(INDEX(商品管理!F:F,MATCH(B145,商品管理!A:A,0)),"")</f>
        <v/>
      </c>
      <c r="AF145" s="21" t="str" cm="1">
        <f t="array" ref="AF145">IFERROR(INDEX(FBA仓库代码表!G:G,MATCH(E145,FBA仓库代码表!B:B,0)),"")</f>
        <v/>
      </c>
      <c r="AG145" s="21" t="str" cm="1">
        <f t="array" ref="AG145">IFERROR(INDEX(FBA仓库代码表!H:H,MATCH(E145,FBA仓库代码表!B:B,0)),"")</f>
        <v/>
      </c>
    </row>
    <row r="146" spans="30:33">
      <c r="AD146" s="21" t="str" cm="1">
        <f t="array" ref="AD146">IFERROR(INDEX(商品管理!E:E,MATCH(B146,商品管理!A:A,0)),"")</f>
        <v/>
      </c>
      <c r="AE146" s="21" t="str" cm="1">
        <f t="array" ref="AE146">IFERROR(INDEX(商品管理!F:F,MATCH(B146,商品管理!A:A,0)),"")</f>
        <v/>
      </c>
      <c r="AF146" s="21" t="str" cm="1">
        <f t="array" ref="AF146">IFERROR(INDEX(FBA仓库代码表!G:G,MATCH(E146,FBA仓库代码表!B:B,0)),"")</f>
        <v/>
      </c>
      <c r="AG146" s="21" t="str" cm="1">
        <f t="array" ref="AG146">IFERROR(INDEX(FBA仓库代码表!H:H,MATCH(E146,FBA仓库代码表!B:B,0)),"")</f>
        <v/>
      </c>
    </row>
    <row r="147" spans="30:33">
      <c r="AD147" s="21" t="str" cm="1">
        <f t="array" ref="AD147">IFERROR(INDEX(商品管理!E:E,MATCH(B147,商品管理!A:A,0)),"")</f>
        <v/>
      </c>
      <c r="AE147" s="21" t="str" cm="1">
        <f t="array" ref="AE147">IFERROR(INDEX(商品管理!F:F,MATCH(B147,商品管理!A:A,0)),"")</f>
        <v/>
      </c>
      <c r="AF147" s="21" t="str" cm="1">
        <f t="array" ref="AF147">IFERROR(INDEX(FBA仓库代码表!G:G,MATCH(E147,FBA仓库代码表!B:B,0)),"")</f>
        <v/>
      </c>
      <c r="AG147" s="21" t="str" cm="1">
        <f t="array" ref="AG147">IFERROR(INDEX(FBA仓库代码表!H:H,MATCH(E147,FBA仓库代码表!B:B,0)),"")</f>
        <v/>
      </c>
    </row>
    <row r="148" spans="30:33">
      <c r="AD148" s="21" t="str" cm="1">
        <f t="array" ref="AD148">IFERROR(INDEX(商品管理!E:E,MATCH(B148,商品管理!A:A,0)),"")</f>
        <v/>
      </c>
      <c r="AE148" s="21" t="str" cm="1">
        <f t="array" ref="AE148">IFERROR(INDEX(商品管理!F:F,MATCH(B148,商品管理!A:A,0)),"")</f>
        <v/>
      </c>
      <c r="AF148" s="21" t="str" cm="1">
        <f t="array" ref="AF148">IFERROR(INDEX(FBA仓库代码表!G:G,MATCH(E148,FBA仓库代码表!B:B,0)),"")</f>
        <v/>
      </c>
      <c r="AG148" s="21" t="str" cm="1">
        <f t="array" ref="AG148">IFERROR(INDEX(FBA仓库代码表!H:H,MATCH(E148,FBA仓库代码表!B:B,0)),"")</f>
        <v/>
      </c>
    </row>
    <row r="149" spans="30:33">
      <c r="AD149" s="21" t="str" cm="1">
        <f t="array" ref="AD149">IFERROR(INDEX(商品管理!E:E,MATCH(B149,商品管理!A:A,0)),"")</f>
        <v/>
      </c>
      <c r="AE149" s="21" t="str" cm="1">
        <f t="array" ref="AE149">IFERROR(INDEX(商品管理!F:F,MATCH(B149,商品管理!A:A,0)),"")</f>
        <v/>
      </c>
      <c r="AF149" s="21" t="str" cm="1">
        <f t="array" ref="AF149">IFERROR(INDEX(FBA仓库代码表!G:G,MATCH(E149,FBA仓库代码表!B:B,0)),"")</f>
        <v/>
      </c>
      <c r="AG149" s="21" t="str" cm="1">
        <f t="array" ref="AG149">IFERROR(INDEX(FBA仓库代码表!H:H,MATCH(E149,FBA仓库代码表!B:B,0)),"")</f>
        <v/>
      </c>
    </row>
    <row r="150" spans="30:33">
      <c r="AD150" s="21" t="str" cm="1">
        <f t="array" ref="AD150">IFERROR(INDEX(商品管理!E:E,MATCH(B150,商品管理!A:A,0)),"")</f>
        <v/>
      </c>
      <c r="AE150" s="21" t="str" cm="1">
        <f t="array" ref="AE150">IFERROR(INDEX(商品管理!F:F,MATCH(B150,商品管理!A:A,0)),"")</f>
        <v/>
      </c>
      <c r="AF150" s="21" t="str" cm="1">
        <f t="array" ref="AF150">IFERROR(INDEX(FBA仓库代码表!G:G,MATCH(E150,FBA仓库代码表!B:B,0)),"")</f>
        <v/>
      </c>
      <c r="AG150" s="21" t="str" cm="1">
        <f t="array" ref="AG150">IFERROR(INDEX(FBA仓库代码表!H:H,MATCH(E150,FBA仓库代码表!B:B,0)),"")</f>
        <v/>
      </c>
    </row>
    <row r="151" spans="30:33">
      <c r="AD151" s="21" t="str" cm="1">
        <f t="array" ref="AD151">IFERROR(INDEX(商品管理!E:E,MATCH(B151,商品管理!A:A,0)),"")</f>
        <v/>
      </c>
      <c r="AE151" s="21" t="str" cm="1">
        <f t="array" ref="AE151">IFERROR(INDEX(商品管理!F:F,MATCH(B151,商品管理!A:A,0)),"")</f>
        <v/>
      </c>
      <c r="AF151" s="21" t="str" cm="1">
        <f t="array" ref="AF151">IFERROR(INDEX(FBA仓库代码表!G:G,MATCH(E151,FBA仓库代码表!B:B,0)),"")</f>
        <v/>
      </c>
      <c r="AG151" s="21" t="str" cm="1">
        <f t="array" ref="AG151">IFERROR(INDEX(FBA仓库代码表!H:H,MATCH(E151,FBA仓库代码表!B:B,0)),"")</f>
        <v/>
      </c>
    </row>
    <row r="152" spans="30:33">
      <c r="AD152" s="21" t="str" cm="1">
        <f t="array" ref="AD152">IFERROR(INDEX(商品管理!E:E,MATCH(B152,商品管理!A:A,0)),"")</f>
        <v/>
      </c>
      <c r="AE152" s="21" t="str" cm="1">
        <f t="array" ref="AE152">IFERROR(INDEX(商品管理!F:F,MATCH(B152,商品管理!A:A,0)),"")</f>
        <v/>
      </c>
      <c r="AF152" s="21" t="str" cm="1">
        <f t="array" ref="AF152">IFERROR(INDEX(FBA仓库代码表!G:G,MATCH(E152,FBA仓库代码表!B:B,0)),"")</f>
        <v/>
      </c>
      <c r="AG152" s="21" t="str" cm="1">
        <f t="array" ref="AG152">IFERROR(INDEX(FBA仓库代码表!H:H,MATCH(E152,FBA仓库代码表!B:B,0)),"")</f>
        <v/>
      </c>
    </row>
    <row r="153" spans="30:33">
      <c r="AD153" s="21" t="str" cm="1">
        <f t="array" ref="AD153">IFERROR(INDEX(商品管理!E:E,MATCH(B153,商品管理!A:A,0)),"")</f>
        <v/>
      </c>
      <c r="AE153" s="21" t="str" cm="1">
        <f t="array" ref="AE153">IFERROR(INDEX(商品管理!F:F,MATCH(B153,商品管理!A:A,0)),"")</f>
        <v/>
      </c>
      <c r="AF153" s="21" t="str" cm="1">
        <f t="array" ref="AF153">IFERROR(INDEX(FBA仓库代码表!G:G,MATCH(E153,FBA仓库代码表!B:B,0)),"")</f>
        <v/>
      </c>
      <c r="AG153" s="21" t="str" cm="1">
        <f t="array" ref="AG153">IFERROR(INDEX(FBA仓库代码表!H:H,MATCH(E153,FBA仓库代码表!B:B,0)),"")</f>
        <v/>
      </c>
    </row>
    <row r="154" spans="30:33">
      <c r="AD154" s="21" t="str" cm="1">
        <f t="array" ref="AD154">IFERROR(INDEX(商品管理!E:E,MATCH(B154,商品管理!A:A,0)),"")</f>
        <v/>
      </c>
      <c r="AE154" s="21" t="str" cm="1">
        <f t="array" ref="AE154">IFERROR(INDEX(商品管理!F:F,MATCH(B154,商品管理!A:A,0)),"")</f>
        <v/>
      </c>
      <c r="AF154" s="21" t="str" cm="1">
        <f t="array" ref="AF154">IFERROR(INDEX(FBA仓库代码表!G:G,MATCH(E154,FBA仓库代码表!B:B,0)),"")</f>
        <v/>
      </c>
      <c r="AG154" s="21" t="str" cm="1">
        <f t="array" ref="AG154">IFERROR(INDEX(FBA仓库代码表!H:H,MATCH(E154,FBA仓库代码表!B:B,0)),"")</f>
        <v/>
      </c>
    </row>
    <row r="155" spans="30:33">
      <c r="AD155" s="21" t="str" cm="1">
        <f t="array" ref="AD155">IFERROR(INDEX(商品管理!E:E,MATCH(B155,商品管理!A:A,0)),"")</f>
        <v/>
      </c>
      <c r="AE155" s="21" t="str" cm="1">
        <f t="array" ref="AE155">IFERROR(INDEX(商品管理!F:F,MATCH(B155,商品管理!A:A,0)),"")</f>
        <v/>
      </c>
      <c r="AF155" s="21" t="str" cm="1">
        <f t="array" ref="AF155">IFERROR(INDEX(FBA仓库代码表!G:G,MATCH(E155,FBA仓库代码表!B:B,0)),"")</f>
        <v/>
      </c>
      <c r="AG155" s="21" t="str" cm="1">
        <f t="array" ref="AG155">IFERROR(INDEX(FBA仓库代码表!H:H,MATCH(E155,FBA仓库代码表!B:B,0)),"")</f>
        <v/>
      </c>
    </row>
    <row r="156" spans="30:33">
      <c r="AD156" s="21" t="str" cm="1">
        <f t="array" ref="AD156">IFERROR(INDEX(商品管理!E:E,MATCH(B156,商品管理!A:A,0)),"")</f>
        <v/>
      </c>
      <c r="AE156" s="21" t="str" cm="1">
        <f t="array" ref="AE156">IFERROR(INDEX(商品管理!F:F,MATCH(B156,商品管理!A:A,0)),"")</f>
        <v/>
      </c>
      <c r="AF156" s="21" t="str" cm="1">
        <f t="array" ref="AF156">IFERROR(INDEX(FBA仓库代码表!G:G,MATCH(E156,FBA仓库代码表!B:B,0)),"")</f>
        <v/>
      </c>
      <c r="AG156" s="21" t="str" cm="1">
        <f t="array" ref="AG156">IFERROR(INDEX(FBA仓库代码表!H:H,MATCH(E156,FBA仓库代码表!B:B,0)),"")</f>
        <v/>
      </c>
    </row>
    <row r="157" spans="30:33">
      <c r="AD157" s="21" t="str" cm="1">
        <f t="array" ref="AD157">IFERROR(INDEX(商品管理!E:E,MATCH(B157,商品管理!A:A,0)),"")</f>
        <v/>
      </c>
      <c r="AE157" s="21" t="str" cm="1">
        <f t="array" ref="AE157">IFERROR(INDEX(商品管理!F:F,MATCH(B157,商品管理!A:A,0)),"")</f>
        <v/>
      </c>
      <c r="AF157" s="21" t="str" cm="1">
        <f t="array" ref="AF157">IFERROR(INDEX(FBA仓库代码表!G:G,MATCH(E157,FBA仓库代码表!B:B,0)),"")</f>
        <v/>
      </c>
      <c r="AG157" s="21" t="str" cm="1">
        <f t="array" ref="AG157">IFERROR(INDEX(FBA仓库代码表!H:H,MATCH(E157,FBA仓库代码表!B:B,0)),"")</f>
        <v/>
      </c>
    </row>
    <row r="158" spans="30:33">
      <c r="AD158" s="21" t="str" cm="1">
        <f t="array" ref="AD158">IFERROR(INDEX(商品管理!E:E,MATCH(B158,商品管理!A:A,0)),"")</f>
        <v/>
      </c>
      <c r="AE158" s="21" t="str" cm="1">
        <f t="array" ref="AE158">IFERROR(INDEX(商品管理!F:F,MATCH(B158,商品管理!A:A,0)),"")</f>
        <v/>
      </c>
      <c r="AF158" s="21" t="str" cm="1">
        <f t="array" ref="AF158">IFERROR(INDEX(FBA仓库代码表!G:G,MATCH(E158,FBA仓库代码表!B:B,0)),"")</f>
        <v/>
      </c>
      <c r="AG158" s="21" t="str" cm="1">
        <f t="array" ref="AG158">IFERROR(INDEX(FBA仓库代码表!H:H,MATCH(E158,FBA仓库代码表!B:B,0)),"")</f>
        <v/>
      </c>
    </row>
    <row r="159" spans="30:33">
      <c r="AD159" s="21" t="str" cm="1">
        <f t="array" ref="AD159">IFERROR(INDEX(商品管理!E:E,MATCH(B159,商品管理!A:A,0)),"")</f>
        <v/>
      </c>
      <c r="AE159" s="21" t="str" cm="1">
        <f t="array" ref="AE159">IFERROR(INDEX(商品管理!F:F,MATCH(B159,商品管理!A:A,0)),"")</f>
        <v/>
      </c>
      <c r="AF159" s="21" t="str" cm="1">
        <f t="array" ref="AF159">IFERROR(INDEX(FBA仓库代码表!G:G,MATCH(E159,FBA仓库代码表!B:B,0)),"")</f>
        <v/>
      </c>
      <c r="AG159" s="21" t="str" cm="1">
        <f t="array" ref="AG159">IFERROR(INDEX(FBA仓库代码表!H:H,MATCH(E159,FBA仓库代码表!B:B,0)),"")</f>
        <v/>
      </c>
    </row>
    <row r="160" spans="30:33">
      <c r="AD160" s="21" t="str" cm="1">
        <f t="array" ref="AD160">IFERROR(INDEX(商品管理!E:E,MATCH(B160,商品管理!A:A,0)),"")</f>
        <v/>
      </c>
      <c r="AE160" s="21" t="str" cm="1">
        <f t="array" ref="AE160">IFERROR(INDEX(商品管理!F:F,MATCH(B160,商品管理!A:A,0)),"")</f>
        <v/>
      </c>
      <c r="AF160" s="21" t="str" cm="1">
        <f t="array" ref="AF160">IFERROR(INDEX(FBA仓库代码表!G:G,MATCH(E160,FBA仓库代码表!B:B,0)),"")</f>
        <v/>
      </c>
      <c r="AG160" s="21" t="str" cm="1">
        <f t="array" ref="AG160">IFERROR(INDEX(FBA仓库代码表!H:H,MATCH(E160,FBA仓库代码表!B:B,0)),"")</f>
        <v/>
      </c>
    </row>
    <row r="161" spans="30:33">
      <c r="AD161" s="21" t="str" cm="1">
        <f t="array" ref="AD161">IFERROR(INDEX(商品管理!E:E,MATCH(B161,商品管理!A:A,0)),"")</f>
        <v/>
      </c>
      <c r="AE161" s="21" t="str" cm="1">
        <f t="array" ref="AE161">IFERROR(INDEX(商品管理!F:F,MATCH(B161,商品管理!A:A,0)),"")</f>
        <v/>
      </c>
      <c r="AF161" s="21" t="str" cm="1">
        <f t="array" ref="AF161">IFERROR(INDEX(FBA仓库代码表!G:G,MATCH(E161,FBA仓库代码表!B:B,0)),"")</f>
        <v/>
      </c>
      <c r="AG161" s="21" t="str" cm="1">
        <f t="array" ref="AG161">IFERROR(INDEX(FBA仓库代码表!H:H,MATCH(E161,FBA仓库代码表!B:B,0)),"")</f>
        <v/>
      </c>
    </row>
    <row r="162" spans="30:33">
      <c r="AD162" s="21" t="str" cm="1">
        <f t="array" ref="AD162">IFERROR(INDEX(商品管理!E:E,MATCH(B162,商品管理!A:A,0)),"")</f>
        <v/>
      </c>
      <c r="AE162" s="21" t="str" cm="1">
        <f t="array" ref="AE162">IFERROR(INDEX(商品管理!F:F,MATCH(B162,商品管理!A:A,0)),"")</f>
        <v/>
      </c>
      <c r="AF162" s="21" t="str" cm="1">
        <f t="array" ref="AF162">IFERROR(INDEX(FBA仓库代码表!G:G,MATCH(E162,FBA仓库代码表!B:B,0)),"")</f>
        <v/>
      </c>
      <c r="AG162" s="21" t="str" cm="1">
        <f t="array" ref="AG162">IFERROR(INDEX(FBA仓库代码表!H:H,MATCH(E162,FBA仓库代码表!B:B,0)),"")</f>
        <v/>
      </c>
    </row>
    <row r="163" spans="30:33">
      <c r="AD163" s="21" t="str" cm="1">
        <f t="array" ref="AD163">IFERROR(INDEX(商品管理!E:E,MATCH(B163,商品管理!A:A,0)),"")</f>
        <v/>
      </c>
      <c r="AE163" s="21" t="str" cm="1">
        <f t="array" ref="AE163">IFERROR(INDEX(商品管理!F:F,MATCH(B163,商品管理!A:A,0)),"")</f>
        <v/>
      </c>
      <c r="AF163" s="21" t="str" cm="1">
        <f t="array" ref="AF163">IFERROR(INDEX(FBA仓库代码表!G:G,MATCH(E163,FBA仓库代码表!B:B,0)),"")</f>
        <v/>
      </c>
      <c r="AG163" s="21" t="str" cm="1">
        <f t="array" ref="AG163">IFERROR(INDEX(FBA仓库代码表!H:H,MATCH(E163,FBA仓库代码表!B:B,0)),"")</f>
        <v/>
      </c>
    </row>
    <row r="164" spans="30:33">
      <c r="AD164" s="21" t="str" cm="1">
        <f t="array" ref="AD164">IFERROR(INDEX(商品管理!E:E,MATCH(B164,商品管理!A:A,0)),"")</f>
        <v/>
      </c>
      <c r="AE164" s="21" t="str" cm="1">
        <f t="array" ref="AE164">IFERROR(INDEX(商品管理!F:F,MATCH(B164,商品管理!A:A,0)),"")</f>
        <v/>
      </c>
      <c r="AF164" s="21" t="str" cm="1">
        <f t="array" ref="AF164">IFERROR(INDEX(FBA仓库代码表!G:G,MATCH(E164,FBA仓库代码表!B:B,0)),"")</f>
        <v/>
      </c>
      <c r="AG164" s="21" t="str" cm="1">
        <f t="array" ref="AG164">IFERROR(INDEX(FBA仓库代码表!H:H,MATCH(E164,FBA仓库代码表!B:B,0)),"")</f>
        <v/>
      </c>
    </row>
    <row r="165" spans="30:33">
      <c r="AD165" s="21" t="str" cm="1">
        <f t="array" ref="AD165">IFERROR(INDEX(商品管理!E:E,MATCH(B165,商品管理!A:A,0)),"")</f>
        <v/>
      </c>
      <c r="AE165" s="21" t="str" cm="1">
        <f t="array" ref="AE165">IFERROR(INDEX(商品管理!F:F,MATCH(B165,商品管理!A:A,0)),"")</f>
        <v/>
      </c>
      <c r="AF165" s="21" t="str" cm="1">
        <f t="array" ref="AF165">IFERROR(INDEX(FBA仓库代码表!G:G,MATCH(E165,FBA仓库代码表!B:B,0)),"")</f>
        <v/>
      </c>
      <c r="AG165" s="21" t="str" cm="1">
        <f t="array" ref="AG165">IFERROR(INDEX(FBA仓库代码表!H:H,MATCH(E165,FBA仓库代码表!B:B,0)),"")</f>
        <v/>
      </c>
    </row>
    <row r="166" spans="30:33">
      <c r="AD166" s="21" t="str" cm="1">
        <f t="array" ref="AD166">IFERROR(INDEX(商品管理!E:E,MATCH(B166,商品管理!A:A,0)),"")</f>
        <v/>
      </c>
      <c r="AE166" s="21" t="str" cm="1">
        <f t="array" ref="AE166">IFERROR(INDEX(商品管理!F:F,MATCH(B166,商品管理!A:A,0)),"")</f>
        <v/>
      </c>
      <c r="AF166" s="21" t="str" cm="1">
        <f t="array" ref="AF166">IFERROR(INDEX(FBA仓库代码表!G:G,MATCH(E166,FBA仓库代码表!B:B,0)),"")</f>
        <v/>
      </c>
      <c r="AG166" s="21" t="str" cm="1">
        <f t="array" ref="AG166">IFERROR(INDEX(FBA仓库代码表!H:H,MATCH(E166,FBA仓库代码表!B:B,0)),"")</f>
        <v/>
      </c>
    </row>
    <row r="167" spans="30:33">
      <c r="AD167" s="21" t="str" cm="1">
        <f t="array" ref="AD167">IFERROR(INDEX(商品管理!E:E,MATCH(B167,商品管理!A:A,0)),"")</f>
        <v/>
      </c>
      <c r="AE167" s="21" t="str" cm="1">
        <f t="array" ref="AE167">IFERROR(INDEX(商品管理!F:F,MATCH(B167,商品管理!A:A,0)),"")</f>
        <v/>
      </c>
      <c r="AF167" s="21" t="str" cm="1">
        <f t="array" ref="AF167">IFERROR(INDEX(FBA仓库代码表!G:G,MATCH(E167,FBA仓库代码表!B:B,0)),"")</f>
        <v/>
      </c>
      <c r="AG167" s="21" t="str" cm="1">
        <f t="array" ref="AG167">IFERROR(INDEX(FBA仓库代码表!H:H,MATCH(E167,FBA仓库代码表!B:B,0)),"")</f>
        <v/>
      </c>
    </row>
    <row r="168" spans="30:33">
      <c r="AD168" s="21" t="str" cm="1">
        <f t="array" ref="AD168">IFERROR(INDEX(商品管理!E:E,MATCH(B168,商品管理!A:A,0)),"")</f>
        <v/>
      </c>
      <c r="AE168" s="21" t="str" cm="1">
        <f t="array" ref="AE168">IFERROR(INDEX(商品管理!F:F,MATCH(B168,商品管理!A:A,0)),"")</f>
        <v/>
      </c>
      <c r="AF168" s="21" t="str" cm="1">
        <f t="array" ref="AF168">IFERROR(INDEX(FBA仓库代码表!G:G,MATCH(E168,FBA仓库代码表!B:B,0)),"")</f>
        <v/>
      </c>
      <c r="AG168" s="21" t="str" cm="1">
        <f t="array" ref="AG168">IFERROR(INDEX(FBA仓库代码表!H:H,MATCH(E168,FBA仓库代码表!B:B,0)),"")</f>
        <v/>
      </c>
    </row>
    <row r="169" spans="30:33">
      <c r="AD169" s="21" t="str" cm="1">
        <f t="array" ref="AD169">IFERROR(INDEX(商品管理!E:E,MATCH(B169,商品管理!A:A,0)),"")</f>
        <v/>
      </c>
      <c r="AE169" s="21" t="str" cm="1">
        <f t="array" ref="AE169">IFERROR(INDEX(商品管理!F:F,MATCH(B169,商品管理!A:A,0)),"")</f>
        <v/>
      </c>
      <c r="AF169" s="21" t="str" cm="1">
        <f t="array" ref="AF169">IFERROR(INDEX(FBA仓库代码表!G:G,MATCH(E169,FBA仓库代码表!B:B,0)),"")</f>
        <v/>
      </c>
      <c r="AG169" s="21" t="str" cm="1">
        <f t="array" ref="AG169">IFERROR(INDEX(FBA仓库代码表!H:H,MATCH(E169,FBA仓库代码表!B:B,0)),"")</f>
        <v/>
      </c>
    </row>
    <row r="170" spans="30:33">
      <c r="AD170" s="21" t="str" cm="1">
        <f t="array" ref="AD170">IFERROR(INDEX(商品管理!E:E,MATCH(B170,商品管理!A:A,0)),"")</f>
        <v/>
      </c>
      <c r="AE170" s="21" t="str" cm="1">
        <f t="array" ref="AE170">IFERROR(INDEX(商品管理!F:F,MATCH(B170,商品管理!A:A,0)),"")</f>
        <v/>
      </c>
      <c r="AF170" s="21" t="str" cm="1">
        <f t="array" ref="AF170">IFERROR(INDEX(FBA仓库代码表!G:G,MATCH(E170,FBA仓库代码表!B:B,0)),"")</f>
        <v/>
      </c>
      <c r="AG170" s="21" t="str" cm="1">
        <f t="array" ref="AG170">IFERROR(INDEX(FBA仓库代码表!H:H,MATCH(E170,FBA仓库代码表!B:B,0)),"")</f>
        <v/>
      </c>
    </row>
    <row r="171" spans="30:33">
      <c r="AD171" s="21" t="str" cm="1">
        <f t="array" ref="AD171">IFERROR(INDEX(商品管理!E:E,MATCH(B171,商品管理!A:A,0)),"")</f>
        <v/>
      </c>
      <c r="AE171" s="21" t="str" cm="1">
        <f t="array" ref="AE171">IFERROR(INDEX(商品管理!F:F,MATCH(B171,商品管理!A:A,0)),"")</f>
        <v/>
      </c>
      <c r="AF171" s="21" t="str" cm="1">
        <f t="array" ref="AF171">IFERROR(INDEX(FBA仓库代码表!G:G,MATCH(E171,FBA仓库代码表!B:B,0)),"")</f>
        <v/>
      </c>
      <c r="AG171" s="21" t="str" cm="1">
        <f t="array" ref="AG171">IFERROR(INDEX(FBA仓库代码表!H:H,MATCH(E171,FBA仓库代码表!B:B,0)),"")</f>
        <v/>
      </c>
    </row>
    <row r="172" spans="30:33">
      <c r="AD172" s="21" t="str" cm="1">
        <f t="array" ref="AD172">IFERROR(INDEX(商品管理!E:E,MATCH(B172,商品管理!A:A,0)),"")</f>
        <v/>
      </c>
      <c r="AE172" s="21" t="str" cm="1">
        <f t="array" ref="AE172">IFERROR(INDEX(商品管理!F:F,MATCH(B172,商品管理!A:A,0)),"")</f>
        <v/>
      </c>
      <c r="AF172" s="21" t="str" cm="1">
        <f t="array" ref="AF172">IFERROR(INDEX(FBA仓库代码表!G:G,MATCH(E172,FBA仓库代码表!B:B,0)),"")</f>
        <v/>
      </c>
      <c r="AG172" s="21" t="str" cm="1">
        <f t="array" ref="AG172">IFERROR(INDEX(FBA仓库代码表!H:H,MATCH(E172,FBA仓库代码表!B:B,0)),"")</f>
        <v/>
      </c>
    </row>
    <row r="173" spans="30:33">
      <c r="AD173" s="21" t="str" cm="1">
        <f t="array" ref="AD173">IFERROR(INDEX(商品管理!E:E,MATCH(B173,商品管理!A:A,0)),"")</f>
        <v/>
      </c>
      <c r="AE173" s="21" t="str" cm="1">
        <f t="array" ref="AE173">IFERROR(INDEX(商品管理!F:F,MATCH(B173,商品管理!A:A,0)),"")</f>
        <v/>
      </c>
      <c r="AF173" s="21" t="str" cm="1">
        <f t="array" ref="AF173">IFERROR(INDEX(FBA仓库代码表!G:G,MATCH(E173,FBA仓库代码表!B:B,0)),"")</f>
        <v/>
      </c>
      <c r="AG173" s="21" t="str" cm="1">
        <f t="array" ref="AG173">IFERROR(INDEX(FBA仓库代码表!H:H,MATCH(E173,FBA仓库代码表!B:B,0)),"")</f>
        <v/>
      </c>
    </row>
    <row r="174" spans="30:33">
      <c r="AD174" s="21" t="str" cm="1">
        <f t="array" ref="AD174">IFERROR(INDEX(商品管理!E:E,MATCH(B174,商品管理!A:A,0)),"")</f>
        <v/>
      </c>
      <c r="AE174" s="21" t="str" cm="1">
        <f t="array" ref="AE174">IFERROR(INDEX(商品管理!F:F,MATCH(B174,商品管理!A:A,0)),"")</f>
        <v/>
      </c>
      <c r="AF174" s="21" t="str" cm="1">
        <f t="array" ref="AF174">IFERROR(INDEX(FBA仓库代码表!G:G,MATCH(E174,FBA仓库代码表!B:B,0)),"")</f>
        <v/>
      </c>
      <c r="AG174" s="21" t="str" cm="1">
        <f t="array" ref="AG174">IFERROR(INDEX(FBA仓库代码表!H:H,MATCH(E174,FBA仓库代码表!B:B,0)),"")</f>
        <v/>
      </c>
    </row>
    <row r="175" spans="30:33">
      <c r="AD175" s="21" t="str" cm="1">
        <f t="array" ref="AD175">IFERROR(INDEX(商品管理!E:E,MATCH(B175,商品管理!A:A,0)),"")</f>
        <v/>
      </c>
      <c r="AE175" s="21" t="str" cm="1">
        <f t="array" ref="AE175">IFERROR(INDEX(商品管理!F:F,MATCH(B175,商品管理!A:A,0)),"")</f>
        <v/>
      </c>
      <c r="AF175" s="21" t="str" cm="1">
        <f t="array" ref="AF175">IFERROR(INDEX(FBA仓库代码表!G:G,MATCH(E175,FBA仓库代码表!B:B,0)),"")</f>
        <v/>
      </c>
      <c r="AG175" s="21" t="str" cm="1">
        <f t="array" ref="AG175">IFERROR(INDEX(FBA仓库代码表!H:H,MATCH(E175,FBA仓库代码表!B:B,0)),"")</f>
        <v/>
      </c>
    </row>
    <row r="176" spans="30:33">
      <c r="AD176" s="21" t="str" cm="1">
        <f t="array" ref="AD176">IFERROR(INDEX(商品管理!E:E,MATCH(B176,商品管理!A:A,0)),"")</f>
        <v/>
      </c>
      <c r="AE176" s="21" t="str" cm="1">
        <f t="array" ref="AE176">IFERROR(INDEX(商品管理!F:F,MATCH(B176,商品管理!A:A,0)),"")</f>
        <v/>
      </c>
      <c r="AF176" s="21" t="str" cm="1">
        <f t="array" ref="AF176">IFERROR(INDEX(FBA仓库代码表!G:G,MATCH(E176,FBA仓库代码表!B:B,0)),"")</f>
        <v/>
      </c>
      <c r="AG176" s="21" t="str" cm="1">
        <f t="array" ref="AG176">IFERROR(INDEX(FBA仓库代码表!H:H,MATCH(E176,FBA仓库代码表!B:B,0)),"")</f>
        <v/>
      </c>
    </row>
    <row r="177" spans="30:33">
      <c r="AD177" s="21" t="str" cm="1">
        <f t="array" ref="AD177">IFERROR(INDEX(商品管理!E:E,MATCH(B177,商品管理!A:A,0)),"")</f>
        <v/>
      </c>
      <c r="AE177" s="21" t="str" cm="1">
        <f t="array" ref="AE177">IFERROR(INDEX(商品管理!F:F,MATCH(B177,商品管理!A:A,0)),"")</f>
        <v/>
      </c>
      <c r="AF177" s="21" t="str" cm="1">
        <f t="array" ref="AF177">IFERROR(INDEX(FBA仓库代码表!G:G,MATCH(E177,FBA仓库代码表!B:B,0)),"")</f>
        <v/>
      </c>
      <c r="AG177" s="21" t="str" cm="1">
        <f t="array" ref="AG177">IFERROR(INDEX(FBA仓库代码表!H:H,MATCH(E177,FBA仓库代码表!B:B,0)),"")</f>
        <v/>
      </c>
    </row>
    <row r="178" spans="30:33">
      <c r="AD178" s="21" t="str" cm="1">
        <f t="array" ref="AD178">IFERROR(INDEX(商品管理!E:E,MATCH(B178,商品管理!A:A,0)),"")</f>
        <v/>
      </c>
      <c r="AE178" s="21" t="str" cm="1">
        <f t="array" ref="AE178">IFERROR(INDEX(商品管理!F:F,MATCH(B178,商品管理!A:A,0)),"")</f>
        <v/>
      </c>
      <c r="AF178" s="21" t="str" cm="1">
        <f t="array" ref="AF178">IFERROR(INDEX(FBA仓库代码表!G:G,MATCH(E178,FBA仓库代码表!B:B,0)),"")</f>
        <v/>
      </c>
      <c r="AG178" s="21" t="str" cm="1">
        <f t="array" ref="AG178">IFERROR(INDEX(FBA仓库代码表!H:H,MATCH(E178,FBA仓库代码表!B:B,0)),"")</f>
        <v/>
      </c>
    </row>
    <row r="179" spans="30:33">
      <c r="AD179" s="21" t="str" cm="1">
        <f t="array" ref="AD179">IFERROR(INDEX(商品管理!E:E,MATCH(B179,商品管理!A:A,0)),"")</f>
        <v/>
      </c>
      <c r="AE179" s="21" t="str" cm="1">
        <f t="array" ref="AE179">IFERROR(INDEX(商品管理!F:F,MATCH(B179,商品管理!A:A,0)),"")</f>
        <v/>
      </c>
      <c r="AF179" s="21" t="str" cm="1">
        <f t="array" ref="AF179">IFERROR(INDEX(FBA仓库代码表!G:G,MATCH(E179,FBA仓库代码表!B:B,0)),"")</f>
        <v/>
      </c>
      <c r="AG179" s="21" t="str" cm="1">
        <f t="array" ref="AG179">IFERROR(INDEX(FBA仓库代码表!H:H,MATCH(E179,FBA仓库代码表!B:B,0)),"")</f>
        <v/>
      </c>
    </row>
    <row r="180" spans="30:33">
      <c r="AD180" s="21" t="str" cm="1">
        <f t="array" ref="AD180">IFERROR(INDEX(商品管理!E:E,MATCH(B180,商品管理!A:A,0)),"")</f>
        <v/>
      </c>
      <c r="AE180" s="21" t="str" cm="1">
        <f t="array" ref="AE180">IFERROR(INDEX(商品管理!F:F,MATCH(B180,商品管理!A:A,0)),"")</f>
        <v/>
      </c>
      <c r="AF180" s="21" t="str" cm="1">
        <f t="array" ref="AF180">IFERROR(INDEX(FBA仓库代码表!G:G,MATCH(E180,FBA仓库代码表!B:B,0)),"")</f>
        <v/>
      </c>
      <c r="AG180" s="21" t="str" cm="1">
        <f t="array" ref="AG180">IFERROR(INDEX(FBA仓库代码表!H:H,MATCH(E180,FBA仓库代码表!B:B,0)),"")</f>
        <v/>
      </c>
    </row>
    <row r="181" spans="30:33">
      <c r="AD181" s="21" t="str" cm="1">
        <f t="array" ref="AD181">IFERROR(INDEX(商品管理!E:E,MATCH(B181,商品管理!A:A,0)),"")</f>
        <v/>
      </c>
      <c r="AE181" s="21" t="str" cm="1">
        <f t="array" ref="AE181">IFERROR(INDEX(商品管理!F:F,MATCH(B181,商品管理!A:A,0)),"")</f>
        <v/>
      </c>
      <c r="AF181" s="21" t="str" cm="1">
        <f t="array" ref="AF181">IFERROR(INDEX(FBA仓库代码表!G:G,MATCH(E181,FBA仓库代码表!B:B,0)),"")</f>
        <v/>
      </c>
      <c r="AG181" s="21" t="str" cm="1">
        <f t="array" ref="AG181">IFERROR(INDEX(FBA仓库代码表!H:H,MATCH(E181,FBA仓库代码表!B:B,0)),"")</f>
        <v/>
      </c>
    </row>
    <row r="182" spans="30:33">
      <c r="AD182" s="21" t="str" cm="1">
        <f t="array" ref="AD182">IFERROR(INDEX(商品管理!E:E,MATCH(B182,商品管理!A:A,0)),"")</f>
        <v/>
      </c>
      <c r="AE182" s="21" t="str" cm="1">
        <f t="array" ref="AE182">IFERROR(INDEX(商品管理!F:F,MATCH(B182,商品管理!A:A,0)),"")</f>
        <v/>
      </c>
      <c r="AF182" s="21" t="str" cm="1">
        <f t="array" ref="AF182">IFERROR(INDEX(FBA仓库代码表!G:G,MATCH(E182,FBA仓库代码表!B:B,0)),"")</f>
        <v/>
      </c>
      <c r="AG182" s="21" t="str" cm="1">
        <f t="array" ref="AG182">IFERROR(INDEX(FBA仓库代码表!H:H,MATCH(E182,FBA仓库代码表!B:B,0)),"")</f>
        <v/>
      </c>
    </row>
    <row r="183" spans="30:33">
      <c r="AD183" s="21" t="str" cm="1">
        <f t="array" ref="AD183">IFERROR(INDEX(商品管理!E:E,MATCH(B183,商品管理!A:A,0)),"")</f>
        <v/>
      </c>
      <c r="AE183" s="21" t="str" cm="1">
        <f t="array" ref="AE183">IFERROR(INDEX(商品管理!F:F,MATCH(B183,商品管理!A:A,0)),"")</f>
        <v/>
      </c>
      <c r="AF183" s="21" t="str" cm="1">
        <f t="array" ref="AF183">IFERROR(INDEX(FBA仓库代码表!G:G,MATCH(E183,FBA仓库代码表!B:B,0)),"")</f>
        <v/>
      </c>
      <c r="AG183" s="21" t="str" cm="1">
        <f t="array" ref="AG183">IFERROR(INDEX(FBA仓库代码表!H:H,MATCH(E183,FBA仓库代码表!B:B,0)),"")</f>
        <v/>
      </c>
    </row>
    <row r="184" spans="30:33">
      <c r="AD184" s="21" t="str" cm="1">
        <f t="array" ref="AD184">IFERROR(INDEX(商品管理!E:E,MATCH(B184,商品管理!A:A,0)),"")</f>
        <v/>
      </c>
      <c r="AE184" s="21" t="str" cm="1">
        <f t="array" ref="AE184">IFERROR(INDEX(商品管理!F:F,MATCH(B184,商品管理!A:A,0)),"")</f>
        <v/>
      </c>
      <c r="AF184" s="21" t="str" cm="1">
        <f t="array" ref="AF184">IFERROR(INDEX(FBA仓库代码表!G:G,MATCH(E184,FBA仓库代码表!B:B,0)),"")</f>
        <v/>
      </c>
      <c r="AG184" s="21" t="str" cm="1">
        <f t="array" ref="AG184">IFERROR(INDEX(FBA仓库代码表!H:H,MATCH(E184,FBA仓库代码表!B:B,0)),"")</f>
        <v/>
      </c>
    </row>
    <row r="185" spans="30:33">
      <c r="AD185" s="21" t="str" cm="1">
        <f t="array" ref="AD185">IFERROR(INDEX(商品管理!E:E,MATCH(B185,商品管理!A:A,0)),"")</f>
        <v/>
      </c>
      <c r="AE185" s="21" t="str" cm="1">
        <f t="array" ref="AE185">IFERROR(INDEX(商品管理!F:F,MATCH(B185,商品管理!A:A,0)),"")</f>
        <v/>
      </c>
      <c r="AF185" s="21" t="str" cm="1">
        <f t="array" ref="AF185">IFERROR(INDEX(FBA仓库代码表!G:G,MATCH(E185,FBA仓库代码表!B:B,0)),"")</f>
        <v/>
      </c>
      <c r="AG185" s="21" t="str" cm="1">
        <f t="array" ref="AG185">IFERROR(INDEX(FBA仓库代码表!H:H,MATCH(E185,FBA仓库代码表!B:B,0)),"")</f>
        <v/>
      </c>
    </row>
    <row r="186" spans="30:33">
      <c r="AD186" s="21" t="str" cm="1">
        <f t="array" ref="AD186">IFERROR(INDEX(商品管理!E:E,MATCH(B186,商品管理!A:A,0)),"")</f>
        <v/>
      </c>
      <c r="AE186" s="21" t="str" cm="1">
        <f t="array" ref="AE186">IFERROR(INDEX(商品管理!F:F,MATCH(B186,商品管理!A:A,0)),"")</f>
        <v/>
      </c>
      <c r="AF186" s="21" t="str" cm="1">
        <f t="array" ref="AF186">IFERROR(INDEX(FBA仓库代码表!G:G,MATCH(E186,FBA仓库代码表!B:B,0)),"")</f>
        <v/>
      </c>
      <c r="AG186" s="21" t="str" cm="1">
        <f t="array" ref="AG186">IFERROR(INDEX(FBA仓库代码表!H:H,MATCH(E186,FBA仓库代码表!B:B,0)),"")</f>
        <v/>
      </c>
    </row>
    <row r="187" spans="30:33">
      <c r="AD187" s="21" t="str" cm="1">
        <f t="array" ref="AD187">IFERROR(INDEX(商品管理!E:E,MATCH(B187,商品管理!A:A,0)),"")</f>
        <v/>
      </c>
      <c r="AE187" s="21" t="str" cm="1">
        <f t="array" ref="AE187">IFERROR(INDEX(商品管理!F:F,MATCH(B187,商品管理!A:A,0)),"")</f>
        <v/>
      </c>
      <c r="AF187" s="21" t="str" cm="1">
        <f t="array" ref="AF187">IFERROR(INDEX(FBA仓库代码表!G:G,MATCH(E187,FBA仓库代码表!B:B,0)),"")</f>
        <v/>
      </c>
      <c r="AG187" s="21" t="str" cm="1">
        <f t="array" ref="AG187">IFERROR(INDEX(FBA仓库代码表!H:H,MATCH(E187,FBA仓库代码表!B:B,0)),"")</f>
        <v/>
      </c>
    </row>
    <row r="188" spans="30:33">
      <c r="AD188" s="21" t="str" cm="1">
        <f t="array" ref="AD188">IFERROR(INDEX(商品管理!E:E,MATCH(B188,商品管理!A:A,0)),"")</f>
        <v/>
      </c>
      <c r="AE188" s="21" t="str" cm="1">
        <f t="array" ref="AE188">IFERROR(INDEX(商品管理!F:F,MATCH(B188,商品管理!A:A,0)),"")</f>
        <v/>
      </c>
      <c r="AF188" s="21" t="str" cm="1">
        <f t="array" ref="AF188">IFERROR(INDEX(FBA仓库代码表!G:G,MATCH(E188,FBA仓库代码表!B:B,0)),"")</f>
        <v/>
      </c>
      <c r="AG188" s="21" t="str" cm="1">
        <f t="array" ref="AG188">IFERROR(INDEX(FBA仓库代码表!H:H,MATCH(E188,FBA仓库代码表!B:B,0)),"")</f>
        <v/>
      </c>
    </row>
    <row r="189" spans="30:33">
      <c r="AD189" s="21" t="str" cm="1">
        <f t="array" ref="AD189">IFERROR(INDEX(商品管理!E:E,MATCH(B189,商品管理!A:A,0)),"")</f>
        <v/>
      </c>
      <c r="AE189" s="21" t="str" cm="1">
        <f t="array" ref="AE189">IFERROR(INDEX(商品管理!F:F,MATCH(B189,商品管理!A:A,0)),"")</f>
        <v/>
      </c>
      <c r="AF189" s="21" t="str" cm="1">
        <f t="array" ref="AF189">IFERROR(INDEX(FBA仓库代码表!G:G,MATCH(E189,FBA仓库代码表!B:B,0)),"")</f>
        <v/>
      </c>
      <c r="AG189" s="21" t="str" cm="1">
        <f t="array" ref="AG189">IFERROR(INDEX(FBA仓库代码表!H:H,MATCH(E189,FBA仓库代码表!B:B,0)),"")</f>
        <v/>
      </c>
    </row>
    <row r="190" spans="30:33">
      <c r="AD190" s="21" t="str" cm="1">
        <f t="array" ref="AD190">IFERROR(INDEX(商品管理!E:E,MATCH(B190,商品管理!A:A,0)),"")</f>
        <v/>
      </c>
      <c r="AE190" s="21" t="str" cm="1">
        <f t="array" ref="AE190">IFERROR(INDEX(商品管理!F:F,MATCH(B190,商品管理!A:A,0)),"")</f>
        <v/>
      </c>
      <c r="AF190" s="21" t="str" cm="1">
        <f t="array" ref="AF190">IFERROR(INDEX(FBA仓库代码表!G:G,MATCH(E190,FBA仓库代码表!B:B,0)),"")</f>
        <v/>
      </c>
      <c r="AG190" s="21" t="str" cm="1">
        <f t="array" ref="AG190">IFERROR(INDEX(FBA仓库代码表!H:H,MATCH(E190,FBA仓库代码表!B:B,0)),"")</f>
        <v/>
      </c>
    </row>
    <row r="191" spans="30:33">
      <c r="AD191" s="21" t="str" cm="1">
        <f t="array" ref="AD191">IFERROR(INDEX(商品管理!E:E,MATCH(B191,商品管理!A:A,0)),"")</f>
        <v/>
      </c>
      <c r="AE191" s="21" t="str" cm="1">
        <f t="array" ref="AE191">IFERROR(INDEX(商品管理!F:F,MATCH(B191,商品管理!A:A,0)),"")</f>
        <v/>
      </c>
      <c r="AF191" s="21" t="str" cm="1">
        <f t="array" ref="AF191">IFERROR(INDEX(FBA仓库代码表!G:G,MATCH(E191,FBA仓库代码表!B:B,0)),"")</f>
        <v/>
      </c>
      <c r="AG191" s="21" t="str" cm="1">
        <f t="array" ref="AG191">IFERROR(INDEX(FBA仓库代码表!H:H,MATCH(E191,FBA仓库代码表!B:B,0)),"")</f>
        <v/>
      </c>
    </row>
    <row r="192" spans="30:33">
      <c r="AD192" s="21" t="str" cm="1">
        <f t="array" ref="AD192">IFERROR(INDEX(商品管理!E:E,MATCH(B192,商品管理!A:A,0)),"")</f>
        <v/>
      </c>
      <c r="AE192" s="21" t="str" cm="1">
        <f t="array" ref="AE192">IFERROR(INDEX(商品管理!F:F,MATCH(B192,商品管理!A:A,0)),"")</f>
        <v/>
      </c>
      <c r="AF192" s="21" t="str" cm="1">
        <f t="array" ref="AF192">IFERROR(INDEX(FBA仓库代码表!G:G,MATCH(E192,FBA仓库代码表!B:B,0)),"")</f>
        <v/>
      </c>
      <c r="AG192" s="21" t="str" cm="1">
        <f t="array" ref="AG192">IFERROR(INDEX(FBA仓库代码表!H:H,MATCH(E192,FBA仓库代码表!B:B,0)),"")</f>
        <v/>
      </c>
    </row>
    <row r="193" spans="30:33">
      <c r="AD193" s="21" t="str" cm="1">
        <f t="array" ref="AD193">IFERROR(INDEX(商品管理!E:E,MATCH(B193,商品管理!A:A,0)),"")</f>
        <v/>
      </c>
      <c r="AE193" s="21" t="str" cm="1">
        <f t="array" ref="AE193">IFERROR(INDEX(商品管理!F:F,MATCH(B193,商品管理!A:A,0)),"")</f>
        <v/>
      </c>
      <c r="AF193" s="21" t="str" cm="1">
        <f t="array" ref="AF193">IFERROR(INDEX(FBA仓库代码表!G:G,MATCH(E193,FBA仓库代码表!B:B,0)),"")</f>
        <v/>
      </c>
      <c r="AG193" s="21" t="str" cm="1">
        <f t="array" ref="AG193">IFERROR(INDEX(FBA仓库代码表!H:H,MATCH(E193,FBA仓库代码表!B:B,0)),"")</f>
        <v/>
      </c>
    </row>
    <row r="194" spans="30:33">
      <c r="AD194" s="21" t="str" cm="1">
        <f t="array" ref="AD194">IFERROR(INDEX(商品管理!E:E,MATCH(B194,商品管理!A:A,0)),"")</f>
        <v/>
      </c>
      <c r="AE194" s="21" t="str" cm="1">
        <f t="array" ref="AE194">IFERROR(INDEX(商品管理!F:F,MATCH(B194,商品管理!A:A,0)),"")</f>
        <v/>
      </c>
      <c r="AF194" s="21" t="str" cm="1">
        <f t="array" ref="AF194">IFERROR(INDEX(FBA仓库代码表!G:G,MATCH(E194,FBA仓库代码表!B:B,0)),"")</f>
        <v/>
      </c>
      <c r="AG194" s="21" t="str" cm="1">
        <f t="array" ref="AG194">IFERROR(INDEX(FBA仓库代码表!H:H,MATCH(E194,FBA仓库代码表!B:B,0)),"")</f>
        <v/>
      </c>
    </row>
    <row r="195" spans="30:33">
      <c r="AD195" s="21" t="str" cm="1">
        <f t="array" ref="AD195">IFERROR(INDEX(商品管理!E:E,MATCH(B195,商品管理!A:A,0)),"")</f>
        <v/>
      </c>
      <c r="AE195" s="21" t="str" cm="1">
        <f t="array" ref="AE195">IFERROR(INDEX(商品管理!F:F,MATCH(B195,商品管理!A:A,0)),"")</f>
        <v/>
      </c>
      <c r="AF195" s="21" t="str" cm="1">
        <f t="array" ref="AF195">IFERROR(INDEX(FBA仓库代码表!G:G,MATCH(E195,FBA仓库代码表!B:B,0)),"")</f>
        <v/>
      </c>
      <c r="AG195" s="21" t="str" cm="1">
        <f t="array" ref="AG195">IFERROR(INDEX(FBA仓库代码表!H:H,MATCH(E195,FBA仓库代码表!B:B,0)),"")</f>
        <v/>
      </c>
    </row>
    <row r="196" spans="30:33">
      <c r="AD196" s="21" t="str" cm="1">
        <f t="array" ref="AD196">IFERROR(INDEX(商品管理!E:E,MATCH(B196,商品管理!A:A,0)),"")</f>
        <v/>
      </c>
      <c r="AE196" s="21" t="str" cm="1">
        <f t="array" ref="AE196">IFERROR(INDEX(商品管理!F:F,MATCH(B196,商品管理!A:A,0)),"")</f>
        <v/>
      </c>
      <c r="AF196" s="21" t="str" cm="1">
        <f t="array" ref="AF196">IFERROR(INDEX(FBA仓库代码表!G:G,MATCH(E196,FBA仓库代码表!B:B,0)),"")</f>
        <v/>
      </c>
      <c r="AG196" s="21" t="str" cm="1">
        <f t="array" ref="AG196">IFERROR(INDEX(FBA仓库代码表!H:H,MATCH(E196,FBA仓库代码表!B:B,0)),"")</f>
        <v/>
      </c>
    </row>
    <row r="197" spans="30:33">
      <c r="AD197" s="21" t="str" cm="1">
        <f t="array" ref="AD197">IFERROR(INDEX(商品管理!E:E,MATCH(B197,商品管理!A:A,0)),"")</f>
        <v/>
      </c>
      <c r="AE197" s="21" t="str" cm="1">
        <f t="array" ref="AE197">IFERROR(INDEX(商品管理!F:F,MATCH(B197,商品管理!A:A,0)),"")</f>
        <v/>
      </c>
      <c r="AF197" s="21" t="str" cm="1">
        <f t="array" ref="AF197">IFERROR(INDEX(FBA仓库代码表!G:G,MATCH(E197,FBA仓库代码表!B:B,0)),"")</f>
        <v/>
      </c>
      <c r="AG197" s="21" t="str" cm="1">
        <f t="array" ref="AG197">IFERROR(INDEX(FBA仓库代码表!H:H,MATCH(E197,FBA仓库代码表!B:B,0)),"")</f>
        <v/>
      </c>
    </row>
    <row r="198" spans="30:33">
      <c r="AD198" s="21" t="str" cm="1">
        <f t="array" ref="AD198">IFERROR(INDEX(商品管理!E:E,MATCH(B198,商品管理!A:A,0)),"")</f>
        <v/>
      </c>
      <c r="AE198" s="21" t="str" cm="1">
        <f t="array" ref="AE198">IFERROR(INDEX(商品管理!F:F,MATCH(B198,商品管理!A:A,0)),"")</f>
        <v/>
      </c>
      <c r="AF198" s="21" t="str" cm="1">
        <f t="array" ref="AF198">IFERROR(INDEX(FBA仓库代码表!G:G,MATCH(E198,FBA仓库代码表!B:B,0)),"")</f>
        <v/>
      </c>
      <c r="AG198" s="21" t="str" cm="1">
        <f t="array" ref="AG198">IFERROR(INDEX(FBA仓库代码表!H:H,MATCH(E198,FBA仓库代码表!B:B,0)),"")</f>
        <v/>
      </c>
    </row>
    <row r="199" spans="30:33">
      <c r="AD199" s="21" t="str" cm="1">
        <f t="array" ref="AD199">IFERROR(INDEX(商品管理!E:E,MATCH(B199,商品管理!A:A,0)),"")</f>
        <v/>
      </c>
      <c r="AE199" s="21" t="str" cm="1">
        <f t="array" ref="AE199">IFERROR(INDEX(商品管理!F:F,MATCH(B199,商品管理!A:A,0)),"")</f>
        <v/>
      </c>
      <c r="AF199" s="21" t="str" cm="1">
        <f t="array" ref="AF199">IFERROR(INDEX(FBA仓库代码表!G:G,MATCH(E199,FBA仓库代码表!B:B,0)),"")</f>
        <v/>
      </c>
      <c r="AG199" s="21" t="str" cm="1">
        <f t="array" ref="AG199">IFERROR(INDEX(FBA仓库代码表!H:H,MATCH(E199,FBA仓库代码表!B:B,0)),"")</f>
        <v/>
      </c>
    </row>
    <row r="200" spans="30:33">
      <c r="AD200" s="21" t="str" cm="1">
        <f t="array" ref="AD200">IFERROR(INDEX(商品管理!E:E,MATCH(B200,商品管理!A:A,0)),"")</f>
        <v/>
      </c>
      <c r="AE200" s="21" t="str" cm="1">
        <f t="array" ref="AE200">IFERROR(INDEX(商品管理!F:F,MATCH(B200,商品管理!A:A,0)),"")</f>
        <v/>
      </c>
      <c r="AF200" s="21" t="str" cm="1">
        <f t="array" ref="AF200">IFERROR(INDEX(FBA仓库代码表!G:G,MATCH(E200,FBA仓库代码表!B:B,0)),"")</f>
        <v/>
      </c>
      <c r="AG200" s="21" t="str" cm="1">
        <f t="array" ref="AG200">IFERROR(INDEX(FBA仓库代码表!H:H,MATCH(E200,FBA仓库代码表!B:B,0)),"")</f>
        <v/>
      </c>
    </row>
    <row r="201" spans="30:33">
      <c r="AD201" s="21" t="str" cm="1">
        <f t="array" ref="AD201">IFERROR(INDEX(商品管理!E:E,MATCH(B201,商品管理!A:A,0)),"")</f>
        <v/>
      </c>
      <c r="AE201" s="21" t="str" cm="1">
        <f t="array" ref="AE201">IFERROR(INDEX(商品管理!F:F,MATCH(B201,商品管理!A:A,0)),"")</f>
        <v/>
      </c>
      <c r="AF201" s="21" t="str" cm="1">
        <f t="array" ref="AF201">IFERROR(INDEX(FBA仓库代码表!G:G,MATCH(E201,FBA仓库代码表!B:B,0)),"")</f>
        <v/>
      </c>
      <c r="AG201" s="21" t="str" cm="1">
        <f t="array" ref="AG201">IFERROR(INDEX(FBA仓库代码表!H:H,MATCH(E201,FBA仓库代码表!B:B,0)),"")</f>
        <v/>
      </c>
    </row>
    <row r="202" spans="30:33">
      <c r="AD202" s="21" t="str" cm="1">
        <f t="array" ref="AD202">IFERROR(INDEX(商品管理!E:E,MATCH(B202,商品管理!A:A,0)),"")</f>
        <v/>
      </c>
      <c r="AE202" s="21" t="str" cm="1">
        <f t="array" ref="AE202">IFERROR(INDEX(商品管理!F:F,MATCH(B202,商品管理!A:A,0)),"")</f>
        <v/>
      </c>
      <c r="AF202" s="21" t="str" cm="1">
        <f t="array" ref="AF202">IFERROR(INDEX(FBA仓库代码表!G:G,MATCH(E202,FBA仓库代码表!B:B,0)),"")</f>
        <v/>
      </c>
      <c r="AG202" s="21" t="str" cm="1">
        <f t="array" ref="AG202">IFERROR(INDEX(FBA仓库代码表!H:H,MATCH(E202,FBA仓库代码表!B:B,0)),"")</f>
        <v/>
      </c>
    </row>
    <row r="203" spans="30:33">
      <c r="AD203" s="21" t="str" cm="1">
        <f t="array" ref="AD203">IFERROR(INDEX(商品管理!E:E,MATCH(B203,商品管理!A:A,0)),"")</f>
        <v/>
      </c>
      <c r="AE203" s="21" t="str" cm="1">
        <f t="array" ref="AE203">IFERROR(INDEX(商品管理!F:F,MATCH(B203,商品管理!A:A,0)),"")</f>
        <v/>
      </c>
      <c r="AF203" s="21" t="str" cm="1">
        <f t="array" ref="AF203">IFERROR(INDEX(FBA仓库代码表!G:G,MATCH(E203,FBA仓库代码表!B:B,0)),"")</f>
        <v/>
      </c>
      <c r="AG203" s="21" t="str" cm="1">
        <f t="array" ref="AG203">IFERROR(INDEX(FBA仓库代码表!H:H,MATCH(E203,FBA仓库代码表!B:B,0)),"")</f>
        <v/>
      </c>
    </row>
    <row r="204" spans="30:33">
      <c r="AD204" s="21" t="str" cm="1">
        <f t="array" ref="AD204">IFERROR(INDEX(商品管理!E:E,MATCH(B204,商品管理!A:A,0)),"")</f>
        <v/>
      </c>
      <c r="AE204" s="21" t="str" cm="1">
        <f t="array" ref="AE204">IFERROR(INDEX(商品管理!F:F,MATCH(B204,商品管理!A:A,0)),"")</f>
        <v/>
      </c>
      <c r="AF204" s="21" t="str" cm="1">
        <f t="array" ref="AF204">IFERROR(INDEX(FBA仓库代码表!G:G,MATCH(E204,FBA仓库代码表!B:B,0)),"")</f>
        <v/>
      </c>
      <c r="AG204" s="21" t="str" cm="1">
        <f t="array" ref="AG204">IFERROR(INDEX(FBA仓库代码表!H:H,MATCH(E204,FBA仓库代码表!B:B,0)),"")</f>
        <v/>
      </c>
    </row>
    <row r="205" spans="30:33">
      <c r="AD205" s="21" t="str" cm="1">
        <f t="array" ref="AD205">IFERROR(INDEX(商品管理!E:E,MATCH(B205,商品管理!A:A,0)),"")</f>
        <v/>
      </c>
      <c r="AE205" s="21" t="str" cm="1">
        <f t="array" ref="AE205">IFERROR(INDEX(商品管理!F:F,MATCH(B205,商品管理!A:A,0)),"")</f>
        <v/>
      </c>
      <c r="AF205" s="21" t="str" cm="1">
        <f t="array" ref="AF205">IFERROR(INDEX(FBA仓库代码表!G:G,MATCH(E205,FBA仓库代码表!B:B,0)),"")</f>
        <v/>
      </c>
      <c r="AG205" s="21" t="str" cm="1">
        <f t="array" ref="AG205">IFERROR(INDEX(FBA仓库代码表!H:H,MATCH(E205,FBA仓库代码表!B:B,0)),"")</f>
        <v/>
      </c>
    </row>
    <row r="206" spans="30:33">
      <c r="AD206" s="21" t="str" cm="1">
        <f t="array" ref="AD206">IFERROR(INDEX(商品管理!E:E,MATCH(B206,商品管理!A:A,0)),"")</f>
        <v/>
      </c>
      <c r="AE206" s="21" t="str" cm="1">
        <f t="array" ref="AE206">IFERROR(INDEX(商品管理!F:F,MATCH(B206,商品管理!A:A,0)),"")</f>
        <v/>
      </c>
      <c r="AF206" s="21" t="str" cm="1">
        <f t="array" ref="AF206">IFERROR(INDEX(FBA仓库代码表!G:G,MATCH(E206,FBA仓库代码表!B:B,0)),"")</f>
        <v/>
      </c>
      <c r="AG206" s="21" t="str" cm="1">
        <f t="array" ref="AG206">IFERROR(INDEX(FBA仓库代码表!H:H,MATCH(E206,FBA仓库代码表!B:B,0)),"")</f>
        <v/>
      </c>
    </row>
    <row r="207" spans="30:33">
      <c r="AD207" s="21" t="str" cm="1">
        <f t="array" ref="AD207">IFERROR(INDEX(商品管理!E:E,MATCH(B207,商品管理!A:A,0)),"")</f>
        <v/>
      </c>
      <c r="AE207" s="21" t="str" cm="1">
        <f t="array" ref="AE207">IFERROR(INDEX(商品管理!F:F,MATCH(B207,商品管理!A:A,0)),"")</f>
        <v/>
      </c>
      <c r="AF207" s="21" t="str" cm="1">
        <f t="array" ref="AF207">IFERROR(INDEX(FBA仓库代码表!G:G,MATCH(E207,FBA仓库代码表!B:B,0)),"")</f>
        <v/>
      </c>
      <c r="AG207" s="21" t="str" cm="1">
        <f t="array" ref="AG207">IFERROR(INDEX(FBA仓库代码表!H:H,MATCH(E207,FBA仓库代码表!B:B,0)),"")</f>
        <v/>
      </c>
    </row>
    <row r="208" spans="30:33">
      <c r="AD208" s="21" t="str" cm="1">
        <f t="array" ref="AD208">IFERROR(INDEX(商品管理!E:E,MATCH(B208,商品管理!A:A,0)),"")</f>
        <v/>
      </c>
      <c r="AE208" s="21" t="str" cm="1">
        <f t="array" ref="AE208">IFERROR(INDEX(商品管理!F:F,MATCH(B208,商品管理!A:A,0)),"")</f>
        <v/>
      </c>
      <c r="AF208" s="21" t="str" cm="1">
        <f t="array" ref="AF208">IFERROR(INDEX(FBA仓库代码表!G:G,MATCH(E208,FBA仓库代码表!B:B,0)),"")</f>
        <v/>
      </c>
      <c r="AG208" s="21" t="str" cm="1">
        <f t="array" ref="AG208">IFERROR(INDEX(FBA仓库代码表!H:H,MATCH(E208,FBA仓库代码表!B:B,0)),"")</f>
        <v/>
      </c>
    </row>
    <row r="209" spans="30:33">
      <c r="AD209" s="21" t="str" cm="1">
        <f t="array" ref="AD209">IFERROR(INDEX(商品管理!E:E,MATCH(B209,商品管理!A:A,0)),"")</f>
        <v/>
      </c>
      <c r="AE209" s="21" t="str" cm="1">
        <f t="array" ref="AE209">IFERROR(INDEX(商品管理!F:F,MATCH(B209,商品管理!A:A,0)),"")</f>
        <v/>
      </c>
      <c r="AF209" s="21" t="str" cm="1">
        <f t="array" ref="AF209">IFERROR(INDEX(FBA仓库代码表!G:G,MATCH(E209,FBA仓库代码表!B:B,0)),"")</f>
        <v/>
      </c>
      <c r="AG209" s="21" t="str" cm="1">
        <f t="array" ref="AG209">IFERROR(INDEX(FBA仓库代码表!H:H,MATCH(E209,FBA仓库代码表!B:B,0)),"")</f>
        <v/>
      </c>
    </row>
    <row r="210" spans="30:33">
      <c r="AD210" s="21" t="str" cm="1">
        <f t="array" ref="AD210">IFERROR(INDEX(商品管理!E:E,MATCH(B210,商品管理!A:A,0)),"")</f>
        <v/>
      </c>
      <c r="AE210" s="21" t="str" cm="1">
        <f t="array" ref="AE210">IFERROR(INDEX(商品管理!F:F,MATCH(B210,商品管理!A:A,0)),"")</f>
        <v/>
      </c>
      <c r="AF210" s="21" t="str" cm="1">
        <f t="array" ref="AF210">IFERROR(INDEX(FBA仓库代码表!G:G,MATCH(E210,FBA仓库代码表!B:B,0)),"")</f>
        <v/>
      </c>
      <c r="AG210" s="21" t="str" cm="1">
        <f t="array" ref="AG210">IFERROR(INDEX(FBA仓库代码表!H:H,MATCH(E210,FBA仓库代码表!B:B,0)),"")</f>
        <v/>
      </c>
    </row>
    <row r="211" spans="30:33">
      <c r="AD211" s="21" t="str" cm="1">
        <f t="array" ref="AD211">IFERROR(INDEX(商品管理!E:E,MATCH(B211,商品管理!A:A,0)),"")</f>
        <v/>
      </c>
      <c r="AE211" s="21" t="str" cm="1">
        <f t="array" ref="AE211">IFERROR(INDEX(商品管理!F:F,MATCH(B211,商品管理!A:A,0)),"")</f>
        <v/>
      </c>
      <c r="AF211" s="21" t="str" cm="1">
        <f t="array" ref="AF211">IFERROR(INDEX(FBA仓库代码表!G:G,MATCH(E211,FBA仓库代码表!B:B,0)),"")</f>
        <v/>
      </c>
      <c r="AG211" s="21" t="str" cm="1">
        <f t="array" ref="AG211">IFERROR(INDEX(FBA仓库代码表!H:H,MATCH(E211,FBA仓库代码表!B:B,0)),"")</f>
        <v/>
      </c>
    </row>
    <row r="212" spans="30:33">
      <c r="AD212" s="21" t="str" cm="1">
        <f t="array" ref="AD212">IFERROR(INDEX(商品管理!E:E,MATCH(B212,商品管理!A:A,0)),"")</f>
        <v/>
      </c>
      <c r="AE212" s="21" t="str" cm="1">
        <f t="array" ref="AE212">IFERROR(INDEX(商品管理!F:F,MATCH(B212,商品管理!A:A,0)),"")</f>
        <v/>
      </c>
      <c r="AF212" s="21" t="str" cm="1">
        <f t="array" ref="AF212">IFERROR(INDEX(FBA仓库代码表!G:G,MATCH(E212,FBA仓库代码表!B:B,0)),"")</f>
        <v/>
      </c>
      <c r="AG212" s="21" t="str" cm="1">
        <f t="array" ref="AG212">IFERROR(INDEX(FBA仓库代码表!H:H,MATCH(E212,FBA仓库代码表!B:B,0)),"")</f>
        <v/>
      </c>
    </row>
    <row r="213" spans="30:33">
      <c r="AD213" s="21" t="str" cm="1">
        <f t="array" ref="AD213">IFERROR(INDEX(商品管理!E:E,MATCH(B213,商品管理!A:A,0)),"")</f>
        <v/>
      </c>
      <c r="AE213" s="21" t="str" cm="1">
        <f t="array" ref="AE213">IFERROR(INDEX(商品管理!F:F,MATCH(B213,商品管理!A:A,0)),"")</f>
        <v/>
      </c>
      <c r="AF213" s="21" t="str" cm="1">
        <f t="array" ref="AF213">IFERROR(INDEX(FBA仓库代码表!G:G,MATCH(E213,FBA仓库代码表!B:B,0)),"")</f>
        <v/>
      </c>
      <c r="AG213" s="21" t="str" cm="1">
        <f t="array" ref="AG213">IFERROR(INDEX(FBA仓库代码表!H:H,MATCH(E213,FBA仓库代码表!B:B,0)),"")</f>
        <v/>
      </c>
    </row>
    <row r="214" spans="30:33">
      <c r="AD214" s="21" t="str" cm="1">
        <f t="array" ref="AD214">IFERROR(INDEX(商品管理!E:E,MATCH(B214,商品管理!A:A,0)),"")</f>
        <v/>
      </c>
      <c r="AE214" s="21" t="str" cm="1">
        <f t="array" ref="AE214">IFERROR(INDEX(商品管理!F:F,MATCH(B214,商品管理!A:A,0)),"")</f>
        <v/>
      </c>
      <c r="AF214" s="21" t="str" cm="1">
        <f t="array" ref="AF214">IFERROR(INDEX(FBA仓库代码表!G:G,MATCH(E214,FBA仓库代码表!B:B,0)),"")</f>
        <v/>
      </c>
      <c r="AG214" s="21" t="str" cm="1">
        <f t="array" ref="AG214">IFERROR(INDEX(FBA仓库代码表!H:H,MATCH(E214,FBA仓库代码表!B:B,0)),"")</f>
        <v/>
      </c>
    </row>
    <row r="215" spans="30:33">
      <c r="AD215" s="21" t="str" cm="1">
        <f t="array" ref="AD215">IFERROR(INDEX(商品管理!E:E,MATCH(B215,商品管理!A:A,0)),"")</f>
        <v/>
      </c>
      <c r="AE215" s="21" t="str" cm="1">
        <f t="array" ref="AE215">IFERROR(INDEX(商品管理!F:F,MATCH(B215,商品管理!A:A,0)),"")</f>
        <v/>
      </c>
      <c r="AF215" s="21" t="str" cm="1">
        <f t="array" ref="AF215">IFERROR(INDEX(FBA仓库代码表!G:G,MATCH(E215,FBA仓库代码表!B:B,0)),"")</f>
        <v/>
      </c>
      <c r="AG215" s="21" t="str" cm="1">
        <f t="array" ref="AG215">IFERROR(INDEX(FBA仓库代码表!H:H,MATCH(E215,FBA仓库代码表!B:B,0)),"")</f>
        <v/>
      </c>
    </row>
    <row r="216" spans="30:33">
      <c r="AD216" s="21" t="str" cm="1">
        <f t="array" ref="AD216">IFERROR(INDEX(商品管理!E:E,MATCH(B216,商品管理!A:A,0)),"")</f>
        <v/>
      </c>
      <c r="AE216" s="21" t="str" cm="1">
        <f t="array" ref="AE216">IFERROR(INDEX(商品管理!F:F,MATCH(B216,商品管理!A:A,0)),"")</f>
        <v/>
      </c>
      <c r="AF216" s="21" t="str" cm="1">
        <f t="array" ref="AF216">IFERROR(INDEX(FBA仓库代码表!G:G,MATCH(E216,FBA仓库代码表!B:B,0)),"")</f>
        <v/>
      </c>
      <c r="AG216" s="21" t="str" cm="1">
        <f t="array" ref="AG216">IFERROR(INDEX(FBA仓库代码表!H:H,MATCH(E216,FBA仓库代码表!B:B,0)),"")</f>
        <v/>
      </c>
    </row>
    <row r="217" spans="30:33">
      <c r="AD217" s="21" t="str" cm="1">
        <f t="array" ref="AD217">IFERROR(INDEX(商品管理!E:E,MATCH(B217,商品管理!A:A,0)),"")</f>
        <v/>
      </c>
      <c r="AE217" s="21" t="str" cm="1">
        <f t="array" ref="AE217">IFERROR(INDEX(商品管理!F:F,MATCH(B217,商品管理!A:A,0)),"")</f>
        <v/>
      </c>
      <c r="AF217" s="21" t="str" cm="1">
        <f t="array" ref="AF217">IFERROR(INDEX(FBA仓库代码表!G:G,MATCH(E217,FBA仓库代码表!B:B,0)),"")</f>
        <v/>
      </c>
      <c r="AG217" s="21" t="str" cm="1">
        <f t="array" ref="AG217">IFERROR(INDEX(FBA仓库代码表!H:H,MATCH(E217,FBA仓库代码表!B:B,0)),"")</f>
        <v/>
      </c>
    </row>
    <row r="218" spans="30:33">
      <c r="AD218" s="21" t="str" cm="1">
        <f t="array" ref="AD218">IFERROR(INDEX(商品管理!E:E,MATCH(B218,商品管理!A:A,0)),"")</f>
        <v/>
      </c>
      <c r="AE218" s="21" t="str" cm="1">
        <f t="array" ref="AE218">IFERROR(INDEX(商品管理!F:F,MATCH(B218,商品管理!A:A,0)),"")</f>
        <v/>
      </c>
      <c r="AF218" s="21" t="str" cm="1">
        <f t="array" ref="AF218">IFERROR(INDEX(FBA仓库代码表!G:G,MATCH(E218,FBA仓库代码表!B:B,0)),"")</f>
        <v/>
      </c>
      <c r="AG218" s="21" t="str" cm="1">
        <f t="array" ref="AG218">IFERROR(INDEX(FBA仓库代码表!H:H,MATCH(E218,FBA仓库代码表!B:B,0)),"")</f>
        <v/>
      </c>
    </row>
    <row r="219" spans="30:33">
      <c r="AD219" s="21" t="str" cm="1">
        <f t="array" ref="AD219">IFERROR(INDEX(商品管理!E:E,MATCH(B219,商品管理!A:A,0)),"")</f>
        <v/>
      </c>
      <c r="AE219" s="21" t="str" cm="1">
        <f t="array" ref="AE219">IFERROR(INDEX(商品管理!F:F,MATCH(B219,商品管理!A:A,0)),"")</f>
        <v/>
      </c>
      <c r="AF219" s="21" t="str" cm="1">
        <f t="array" ref="AF219">IFERROR(INDEX(FBA仓库代码表!G:G,MATCH(E219,FBA仓库代码表!B:B,0)),"")</f>
        <v/>
      </c>
      <c r="AG219" s="21" t="str" cm="1">
        <f t="array" ref="AG219">IFERROR(INDEX(FBA仓库代码表!H:H,MATCH(E219,FBA仓库代码表!B:B,0)),"")</f>
        <v/>
      </c>
    </row>
    <row r="220" spans="30:33">
      <c r="AD220" s="21" t="str" cm="1">
        <f t="array" ref="AD220">IFERROR(INDEX(商品管理!E:E,MATCH(B220,商品管理!A:A,0)),"")</f>
        <v/>
      </c>
      <c r="AE220" s="21" t="str" cm="1">
        <f t="array" ref="AE220">IFERROR(INDEX(商品管理!F:F,MATCH(B220,商品管理!A:A,0)),"")</f>
        <v/>
      </c>
      <c r="AF220" s="21" t="str" cm="1">
        <f t="array" ref="AF220">IFERROR(INDEX(FBA仓库代码表!G:G,MATCH(E220,FBA仓库代码表!B:B,0)),"")</f>
        <v/>
      </c>
      <c r="AG220" s="21" t="str" cm="1">
        <f t="array" ref="AG220">IFERROR(INDEX(FBA仓库代码表!H:H,MATCH(E220,FBA仓库代码表!B:B,0)),"")</f>
        <v/>
      </c>
    </row>
    <row r="221" spans="30:33">
      <c r="AD221" s="21" t="str" cm="1">
        <f t="array" ref="AD221">IFERROR(INDEX(商品管理!E:E,MATCH(B221,商品管理!A:A,0)),"")</f>
        <v/>
      </c>
      <c r="AE221" s="21" t="str" cm="1">
        <f t="array" ref="AE221">IFERROR(INDEX(商品管理!F:F,MATCH(B221,商品管理!A:A,0)),"")</f>
        <v/>
      </c>
      <c r="AF221" s="21" t="str" cm="1">
        <f t="array" ref="AF221">IFERROR(INDEX(FBA仓库代码表!G:G,MATCH(E221,FBA仓库代码表!B:B,0)),"")</f>
        <v/>
      </c>
      <c r="AG221" s="21" t="str" cm="1">
        <f t="array" ref="AG221">IFERROR(INDEX(FBA仓库代码表!H:H,MATCH(E221,FBA仓库代码表!B:B,0)),"")</f>
        <v/>
      </c>
    </row>
    <row r="222" spans="30:33">
      <c r="AD222" s="21" t="str" cm="1">
        <f t="array" ref="AD222">IFERROR(INDEX(商品管理!E:E,MATCH(B222,商品管理!A:A,0)),"")</f>
        <v/>
      </c>
      <c r="AE222" s="21" t="str" cm="1">
        <f t="array" ref="AE222">IFERROR(INDEX(商品管理!F:F,MATCH(B222,商品管理!A:A,0)),"")</f>
        <v/>
      </c>
      <c r="AF222" s="21" t="str" cm="1">
        <f t="array" ref="AF222">IFERROR(INDEX(FBA仓库代码表!G:G,MATCH(E222,FBA仓库代码表!B:B,0)),"")</f>
        <v/>
      </c>
      <c r="AG222" s="21" t="str" cm="1">
        <f t="array" ref="AG222">IFERROR(INDEX(FBA仓库代码表!H:H,MATCH(E222,FBA仓库代码表!B:B,0)),"")</f>
        <v/>
      </c>
    </row>
    <row r="223" spans="30:33">
      <c r="AD223" s="21" t="str" cm="1">
        <f t="array" ref="AD223">IFERROR(INDEX(商品管理!E:E,MATCH(B223,商品管理!A:A,0)),"")</f>
        <v/>
      </c>
      <c r="AE223" s="21" t="str" cm="1">
        <f t="array" ref="AE223">IFERROR(INDEX(商品管理!F:F,MATCH(B223,商品管理!A:A,0)),"")</f>
        <v/>
      </c>
      <c r="AF223" s="21" t="str" cm="1">
        <f t="array" ref="AF223">IFERROR(INDEX(FBA仓库代码表!G:G,MATCH(E223,FBA仓库代码表!B:B,0)),"")</f>
        <v/>
      </c>
      <c r="AG223" s="21" t="str" cm="1">
        <f t="array" ref="AG223">IFERROR(INDEX(FBA仓库代码表!H:H,MATCH(E223,FBA仓库代码表!B:B,0)),"")</f>
        <v/>
      </c>
    </row>
    <row r="224" spans="30:33">
      <c r="AD224" s="21" t="str" cm="1">
        <f t="array" ref="AD224">IFERROR(INDEX(商品管理!E:E,MATCH(B224,商品管理!A:A,0)),"")</f>
        <v/>
      </c>
      <c r="AE224" s="21" t="str" cm="1">
        <f t="array" ref="AE224">IFERROR(INDEX(商品管理!F:F,MATCH(B224,商品管理!A:A,0)),"")</f>
        <v/>
      </c>
      <c r="AF224" s="21" t="str" cm="1">
        <f t="array" ref="AF224">IFERROR(INDEX(FBA仓库代码表!G:G,MATCH(E224,FBA仓库代码表!B:B,0)),"")</f>
        <v/>
      </c>
      <c r="AG224" s="21" t="str" cm="1">
        <f t="array" ref="AG224">IFERROR(INDEX(FBA仓库代码表!H:H,MATCH(E224,FBA仓库代码表!B:B,0)),"")</f>
        <v/>
      </c>
    </row>
    <row r="225" spans="30:33">
      <c r="AD225" s="21" t="str" cm="1">
        <f t="array" ref="AD225">IFERROR(INDEX(商品管理!E:E,MATCH(B225,商品管理!A:A,0)),"")</f>
        <v/>
      </c>
      <c r="AE225" s="21" t="str" cm="1">
        <f t="array" ref="AE225">IFERROR(INDEX(商品管理!F:F,MATCH(B225,商品管理!A:A,0)),"")</f>
        <v/>
      </c>
      <c r="AF225" s="21" t="str" cm="1">
        <f t="array" ref="AF225">IFERROR(INDEX(FBA仓库代码表!G:G,MATCH(E225,FBA仓库代码表!B:B,0)),"")</f>
        <v/>
      </c>
      <c r="AG225" s="21" t="str" cm="1">
        <f t="array" ref="AG225">IFERROR(INDEX(FBA仓库代码表!H:H,MATCH(E225,FBA仓库代码表!B:B,0)),"")</f>
        <v/>
      </c>
    </row>
    <row r="226" spans="30:33">
      <c r="AD226" s="21" t="str" cm="1">
        <f t="array" ref="AD226">IFERROR(INDEX(商品管理!E:E,MATCH(B226,商品管理!A:A,0)),"")</f>
        <v/>
      </c>
      <c r="AE226" s="21" t="str" cm="1">
        <f t="array" ref="AE226">IFERROR(INDEX(商品管理!F:F,MATCH(B226,商品管理!A:A,0)),"")</f>
        <v/>
      </c>
      <c r="AF226" s="21" t="str" cm="1">
        <f t="array" ref="AF226">IFERROR(INDEX(FBA仓库代码表!G:G,MATCH(E226,FBA仓库代码表!B:B,0)),"")</f>
        <v/>
      </c>
      <c r="AG226" s="21" t="str" cm="1">
        <f t="array" ref="AG226">IFERROR(INDEX(FBA仓库代码表!H:H,MATCH(E226,FBA仓库代码表!B:B,0)),"")</f>
        <v/>
      </c>
    </row>
    <row r="227" spans="30:33">
      <c r="AD227" s="21" t="str" cm="1">
        <f t="array" ref="AD227">IFERROR(INDEX(商品管理!E:E,MATCH(B227,商品管理!A:A,0)),"")</f>
        <v/>
      </c>
      <c r="AE227" s="21" t="str" cm="1">
        <f t="array" ref="AE227">IFERROR(INDEX(商品管理!F:F,MATCH(B227,商品管理!A:A,0)),"")</f>
        <v/>
      </c>
      <c r="AF227" s="21" t="str" cm="1">
        <f t="array" ref="AF227">IFERROR(INDEX(FBA仓库代码表!G:G,MATCH(E227,FBA仓库代码表!B:B,0)),"")</f>
        <v/>
      </c>
      <c r="AG227" s="21" t="str" cm="1">
        <f t="array" ref="AG227">IFERROR(INDEX(FBA仓库代码表!H:H,MATCH(E227,FBA仓库代码表!B:B,0)),"")</f>
        <v/>
      </c>
    </row>
    <row r="228" spans="30:33">
      <c r="AD228" s="21" t="str" cm="1">
        <f t="array" ref="AD228">IFERROR(INDEX(商品管理!E:E,MATCH(B228,商品管理!A:A,0)),"")</f>
        <v/>
      </c>
      <c r="AE228" s="21" t="str" cm="1">
        <f t="array" ref="AE228">IFERROR(INDEX(商品管理!F:F,MATCH(B228,商品管理!A:A,0)),"")</f>
        <v/>
      </c>
      <c r="AF228" s="21" t="str" cm="1">
        <f t="array" ref="AF228">IFERROR(INDEX(FBA仓库代码表!G:G,MATCH(E228,FBA仓库代码表!B:B,0)),"")</f>
        <v/>
      </c>
      <c r="AG228" s="21" t="str" cm="1">
        <f t="array" ref="AG228">IFERROR(INDEX(FBA仓库代码表!H:H,MATCH(E228,FBA仓库代码表!B:B,0)),"")</f>
        <v/>
      </c>
    </row>
    <row r="229" spans="30:33">
      <c r="AD229" s="21" t="str" cm="1">
        <f t="array" ref="AD229">IFERROR(INDEX(商品管理!E:E,MATCH(B229,商品管理!A:A,0)),"")</f>
        <v/>
      </c>
      <c r="AE229" s="21" t="str" cm="1">
        <f t="array" ref="AE229">IFERROR(INDEX(商品管理!F:F,MATCH(B229,商品管理!A:A,0)),"")</f>
        <v/>
      </c>
      <c r="AF229" s="21" t="str" cm="1">
        <f t="array" ref="AF229">IFERROR(INDEX(FBA仓库代码表!G:G,MATCH(E229,FBA仓库代码表!B:B,0)),"")</f>
        <v/>
      </c>
      <c r="AG229" s="21" t="str" cm="1">
        <f t="array" ref="AG229">IFERROR(INDEX(FBA仓库代码表!H:H,MATCH(E229,FBA仓库代码表!B:B,0)),"")</f>
        <v/>
      </c>
    </row>
    <row r="230" spans="30:33">
      <c r="AD230" s="21" t="str" cm="1">
        <f t="array" ref="AD230">IFERROR(INDEX(商品管理!E:E,MATCH(B230,商品管理!A:A,0)),"")</f>
        <v/>
      </c>
      <c r="AE230" s="21" t="str" cm="1">
        <f t="array" ref="AE230">IFERROR(INDEX(商品管理!F:F,MATCH(B230,商品管理!A:A,0)),"")</f>
        <v/>
      </c>
      <c r="AF230" s="21" t="str" cm="1">
        <f t="array" ref="AF230">IFERROR(INDEX(FBA仓库代码表!G:G,MATCH(E230,FBA仓库代码表!B:B,0)),"")</f>
        <v/>
      </c>
      <c r="AG230" s="21" t="str" cm="1">
        <f t="array" ref="AG230">IFERROR(INDEX(FBA仓库代码表!H:H,MATCH(E230,FBA仓库代码表!B:B,0)),"")</f>
        <v/>
      </c>
    </row>
    <row r="231" spans="30:33">
      <c r="AD231" s="21" t="str" cm="1">
        <f t="array" ref="AD231">IFERROR(INDEX(商品管理!E:E,MATCH(B231,商品管理!A:A,0)),"")</f>
        <v/>
      </c>
      <c r="AE231" s="21" t="str" cm="1">
        <f t="array" ref="AE231">IFERROR(INDEX(商品管理!F:F,MATCH(B231,商品管理!A:A,0)),"")</f>
        <v/>
      </c>
      <c r="AF231" s="21" t="str" cm="1">
        <f t="array" ref="AF231">IFERROR(INDEX(FBA仓库代码表!G:G,MATCH(E231,FBA仓库代码表!B:B,0)),"")</f>
        <v/>
      </c>
      <c r="AG231" s="21" t="str" cm="1">
        <f t="array" ref="AG231">IFERROR(INDEX(FBA仓库代码表!H:H,MATCH(E231,FBA仓库代码表!B:B,0)),"")</f>
        <v/>
      </c>
    </row>
    <row r="232" spans="30:33">
      <c r="AD232" s="21" t="str" cm="1">
        <f t="array" ref="AD232">IFERROR(INDEX(商品管理!E:E,MATCH(B232,商品管理!A:A,0)),"")</f>
        <v/>
      </c>
      <c r="AE232" s="21" t="str" cm="1">
        <f t="array" ref="AE232">IFERROR(INDEX(商品管理!F:F,MATCH(B232,商品管理!A:A,0)),"")</f>
        <v/>
      </c>
      <c r="AF232" s="21" t="str" cm="1">
        <f t="array" ref="AF232">IFERROR(INDEX(FBA仓库代码表!G:G,MATCH(E232,FBA仓库代码表!B:B,0)),"")</f>
        <v/>
      </c>
      <c r="AG232" s="21" t="str" cm="1">
        <f t="array" ref="AG232">IFERROR(INDEX(FBA仓库代码表!H:H,MATCH(E232,FBA仓库代码表!B:B,0)),"")</f>
        <v/>
      </c>
    </row>
    <row r="233" spans="30:33">
      <c r="AD233" s="21" t="str" cm="1">
        <f t="array" ref="AD233">IFERROR(INDEX(商品管理!E:E,MATCH(B233,商品管理!A:A,0)),"")</f>
        <v/>
      </c>
      <c r="AE233" s="21" t="str" cm="1">
        <f t="array" ref="AE233">IFERROR(INDEX(商品管理!F:F,MATCH(B233,商品管理!A:A,0)),"")</f>
        <v/>
      </c>
      <c r="AF233" s="21" t="str" cm="1">
        <f t="array" ref="AF233">IFERROR(INDEX(FBA仓库代码表!G:G,MATCH(E233,FBA仓库代码表!B:B,0)),"")</f>
        <v/>
      </c>
      <c r="AG233" s="21" t="str" cm="1">
        <f t="array" ref="AG233">IFERROR(INDEX(FBA仓库代码表!H:H,MATCH(E233,FBA仓库代码表!B:B,0)),"")</f>
        <v/>
      </c>
    </row>
    <row r="234" spans="30:33">
      <c r="AD234" s="21" t="str" cm="1">
        <f t="array" ref="AD234">IFERROR(INDEX(商品管理!E:E,MATCH(B234,商品管理!A:A,0)),"")</f>
        <v/>
      </c>
      <c r="AE234" s="21" t="str" cm="1">
        <f t="array" ref="AE234">IFERROR(INDEX(商品管理!F:F,MATCH(B234,商品管理!A:A,0)),"")</f>
        <v/>
      </c>
      <c r="AF234" s="21" t="str" cm="1">
        <f t="array" ref="AF234">IFERROR(INDEX(FBA仓库代码表!G:G,MATCH(E234,FBA仓库代码表!B:B,0)),"")</f>
        <v/>
      </c>
      <c r="AG234" s="21" t="str" cm="1">
        <f t="array" ref="AG234">IFERROR(INDEX(FBA仓库代码表!H:H,MATCH(E234,FBA仓库代码表!B:B,0)),"")</f>
        <v/>
      </c>
    </row>
    <row r="235" spans="30:33">
      <c r="AD235" s="21" t="str" cm="1">
        <f t="array" ref="AD235">IFERROR(INDEX(商品管理!E:E,MATCH(B235,商品管理!A:A,0)),"")</f>
        <v/>
      </c>
      <c r="AE235" s="21" t="str" cm="1">
        <f t="array" ref="AE235">IFERROR(INDEX(商品管理!F:F,MATCH(B235,商品管理!A:A,0)),"")</f>
        <v/>
      </c>
      <c r="AF235" s="21" t="str" cm="1">
        <f t="array" ref="AF235">IFERROR(INDEX(FBA仓库代码表!G:G,MATCH(E235,FBA仓库代码表!B:B,0)),"")</f>
        <v/>
      </c>
      <c r="AG235" s="21" t="str" cm="1">
        <f t="array" ref="AG235">IFERROR(INDEX(FBA仓库代码表!H:H,MATCH(E235,FBA仓库代码表!B:B,0)),"")</f>
        <v/>
      </c>
    </row>
    <row r="236" spans="30:33">
      <c r="AD236" s="21" t="str" cm="1">
        <f t="array" ref="AD236">IFERROR(INDEX(商品管理!E:E,MATCH(B236,商品管理!A:A,0)),"")</f>
        <v/>
      </c>
      <c r="AE236" s="21" t="str" cm="1">
        <f t="array" ref="AE236">IFERROR(INDEX(商品管理!F:F,MATCH(B236,商品管理!A:A,0)),"")</f>
        <v/>
      </c>
      <c r="AF236" s="21" t="str" cm="1">
        <f t="array" ref="AF236">IFERROR(INDEX(FBA仓库代码表!G:G,MATCH(E236,FBA仓库代码表!B:B,0)),"")</f>
        <v/>
      </c>
      <c r="AG236" s="21" t="str" cm="1">
        <f t="array" ref="AG236">IFERROR(INDEX(FBA仓库代码表!H:H,MATCH(E236,FBA仓库代码表!B:B,0)),"")</f>
        <v/>
      </c>
    </row>
    <row r="237" spans="30:33">
      <c r="AD237" s="21" t="str" cm="1">
        <f t="array" ref="AD237">IFERROR(INDEX(商品管理!E:E,MATCH(B237,商品管理!A:A,0)),"")</f>
        <v/>
      </c>
      <c r="AE237" s="21" t="str" cm="1">
        <f t="array" ref="AE237">IFERROR(INDEX(商品管理!F:F,MATCH(B237,商品管理!A:A,0)),"")</f>
        <v/>
      </c>
      <c r="AF237" s="21" t="str" cm="1">
        <f t="array" ref="AF237">IFERROR(INDEX(FBA仓库代码表!G:G,MATCH(E237,FBA仓库代码表!B:B,0)),"")</f>
        <v/>
      </c>
      <c r="AG237" s="21" t="str" cm="1">
        <f t="array" ref="AG237">IFERROR(INDEX(FBA仓库代码表!H:H,MATCH(E237,FBA仓库代码表!B:B,0)),"")</f>
        <v/>
      </c>
    </row>
    <row r="238" spans="30:33">
      <c r="AD238" s="21" t="str" cm="1">
        <f t="array" ref="AD238">IFERROR(INDEX(商品管理!E:E,MATCH(B238,商品管理!A:A,0)),"")</f>
        <v/>
      </c>
      <c r="AE238" s="21" t="str" cm="1">
        <f t="array" ref="AE238">IFERROR(INDEX(商品管理!F:F,MATCH(B238,商品管理!A:A,0)),"")</f>
        <v/>
      </c>
      <c r="AF238" s="21" t="str" cm="1">
        <f t="array" ref="AF238">IFERROR(INDEX(FBA仓库代码表!G:G,MATCH(E238,FBA仓库代码表!B:B,0)),"")</f>
        <v/>
      </c>
      <c r="AG238" s="21" t="str" cm="1">
        <f t="array" ref="AG238">IFERROR(INDEX(FBA仓库代码表!H:H,MATCH(E238,FBA仓库代码表!B:B,0)),"")</f>
        <v/>
      </c>
    </row>
    <row r="239" spans="30:33">
      <c r="AD239" s="21" t="str" cm="1">
        <f t="array" ref="AD239">IFERROR(INDEX(商品管理!E:E,MATCH(B239,商品管理!A:A,0)),"")</f>
        <v/>
      </c>
      <c r="AE239" s="21" t="str" cm="1">
        <f t="array" ref="AE239">IFERROR(INDEX(商品管理!F:F,MATCH(B239,商品管理!A:A,0)),"")</f>
        <v/>
      </c>
      <c r="AF239" s="21" t="str" cm="1">
        <f t="array" ref="AF239">IFERROR(INDEX(FBA仓库代码表!G:G,MATCH(E239,FBA仓库代码表!B:B,0)),"")</f>
        <v/>
      </c>
      <c r="AG239" s="21" t="str" cm="1">
        <f t="array" ref="AG239">IFERROR(INDEX(FBA仓库代码表!H:H,MATCH(E239,FBA仓库代码表!B:B,0)),"")</f>
        <v/>
      </c>
    </row>
    <row r="240" spans="30:33">
      <c r="AD240" s="21" t="str" cm="1">
        <f t="array" ref="AD240">IFERROR(INDEX(商品管理!E:E,MATCH(B240,商品管理!A:A,0)),"")</f>
        <v/>
      </c>
      <c r="AE240" s="21" t="str" cm="1">
        <f t="array" ref="AE240">IFERROR(INDEX(商品管理!F:F,MATCH(B240,商品管理!A:A,0)),"")</f>
        <v/>
      </c>
      <c r="AF240" s="21" t="str" cm="1">
        <f t="array" ref="AF240">IFERROR(INDEX(FBA仓库代码表!G:G,MATCH(E240,FBA仓库代码表!B:B,0)),"")</f>
        <v/>
      </c>
      <c r="AG240" s="21" t="str" cm="1">
        <f t="array" ref="AG240">IFERROR(INDEX(FBA仓库代码表!H:H,MATCH(E240,FBA仓库代码表!B:B,0)),"")</f>
        <v/>
      </c>
    </row>
    <row r="241" spans="30:33">
      <c r="AD241" s="21" t="str" cm="1">
        <f t="array" ref="AD241">IFERROR(INDEX(商品管理!E:E,MATCH(B241,商品管理!A:A,0)),"")</f>
        <v/>
      </c>
      <c r="AE241" s="21" t="str" cm="1">
        <f t="array" ref="AE241">IFERROR(INDEX(商品管理!F:F,MATCH(B241,商品管理!A:A,0)),"")</f>
        <v/>
      </c>
      <c r="AF241" s="21" t="str" cm="1">
        <f t="array" ref="AF241">IFERROR(INDEX(FBA仓库代码表!G:G,MATCH(E241,FBA仓库代码表!B:B,0)),"")</f>
        <v/>
      </c>
      <c r="AG241" s="21" t="str" cm="1">
        <f t="array" ref="AG241">IFERROR(INDEX(FBA仓库代码表!H:H,MATCH(E241,FBA仓库代码表!B:B,0)),"")</f>
        <v/>
      </c>
    </row>
    <row r="242" spans="30:33">
      <c r="AD242" s="21" t="str" cm="1">
        <f t="array" ref="AD242">IFERROR(INDEX(商品管理!E:E,MATCH(B242,商品管理!A:A,0)),"")</f>
        <v/>
      </c>
      <c r="AE242" s="21" t="str" cm="1">
        <f t="array" ref="AE242">IFERROR(INDEX(商品管理!F:F,MATCH(B242,商品管理!A:A,0)),"")</f>
        <v/>
      </c>
      <c r="AF242" s="21" t="str" cm="1">
        <f t="array" ref="AF242">IFERROR(INDEX(FBA仓库代码表!G:G,MATCH(E242,FBA仓库代码表!B:B,0)),"")</f>
        <v/>
      </c>
      <c r="AG242" s="21" t="str" cm="1">
        <f t="array" ref="AG242">IFERROR(INDEX(FBA仓库代码表!H:H,MATCH(E242,FBA仓库代码表!B:B,0)),"")</f>
        <v/>
      </c>
    </row>
    <row r="243" spans="30:33">
      <c r="AD243" s="21" t="str" cm="1">
        <f t="array" ref="AD243">IFERROR(INDEX(商品管理!E:E,MATCH(B243,商品管理!A:A,0)),"")</f>
        <v/>
      </c>
      <c r="AE243" s="21" t="str" cm="1">
        <f t="array" ref="AE243">IFERROR(INDEX(商品管理!F:F,MATCH(B243,商品管理!A:A,0)),"")</f>
        <v/>
      </c>
      <c r="AF243" s="21" t="str" cm="1">
        <f t="array" ref="AF243">IFERROR(INDEX(FBA仓库代码表!G:G,MATCH(E243,FBA仓库代码表!B:B,0)),"")</f>
        <v/>
      </c>
      <c r="AG243" s="21" t="str" cm="1">
        <f t="array" ref="AG243">IFERROR(INDEX(FBA仓库代码表!H:H,MATCH(E243,FBA仓库代码表!B:B,0)),"")</f>
        <v/>
      </c>
    </row>
    <row r="244" spans="30:33">
      <c r="AD244" s="21" t="str" cm="1">
        <f t="array" ref="AD244">IFERROR(INDEX(商品管理!E:E,MATCH(B244,商品管理!A:A,0)),"")</f>
        <v/>
      </c>
      <c r="AE244" s="21" t="str" cm="1">
        <f t="array" ref="AE244">IFERROR(INDEX(商品管理!F:F,MATCH(B244,商品管理!A:A,0)),"")</f>
        <v/>
      </c>
      <c r="AF244" s="21" t="str" cm="1">
        <f t="array" ref="AF244">IFERROR(INDEX(FBA仓库代码表!G:G,MATCH(E244,FBA仓库代码表!B:B,0)),"")</f>
        <v/>
      </c>
      <c r="AG244" s="21" t="str" cm="1">
        <f t="array" ref="AG244">IFERROR(INDEX(FBA仓库代码表!H:H,MATCH(E244,FBA仓库代码表!B:B,0)),"")</f>
        <v/>
      </c>
    </row>
    <row r="245" spans="30:33">
      <c r="AD245" s="21" t="str" cm="1">
        <f t="array" ref="AD245">IFERROR(INDEX(商品管理!E:E,MATCH(B245,商品管理!A:A,0)),"")</f>
        <v/>
      </c>
      <c r="AE245" s="21" t="str" cm="1">
        <f t="array" ref="AE245">IFERROR(INDEX(商品管理!F:F,MATCH(B245,商品管理!A:A,0)),"")</f>
        <v/>
      </c>
      <c r="AF245" s="21" t="str" cm="1">
        <f t="array" ref="AF245">IFERROR(INDEX(FBA仓库代码表!G:G,MATCH(E245,FBA仓库代码表!B:B,0)),"")</f>
        <v/>
      </c>
      <c r="AG245" s="21" t="str" cm="1">
        <f t="array" ref="AG245">IFERROR(INDEX(FBA仓库代码表!H:H,MATCH(E245,FBA仓库代码表!B:B,0)),"")</f>
        <v/>
      </c>
    </row>
    <row r="246" spans="30:33">
      <c r="AD246" s="21" t="str" cm="1">
        <f t="array" ref="AD246">IFERROR(INDEX(商品管理!E:E,MATCH(B246,商品管理!A:A,0)),"")</f>
        <v/>
      </c>
      <c r="AE246" s="21" t="str" cm="1">
        <f t="array" ref="AE246">IFERROR(INDEX(商品管理!F:F,MATCH(B246,商品管理!A:A,0)),"")</f>
        <v/>
      </c>
      <c r="AF246" s="21" t="str" cm="1">
        <f t="array" ref="AF246">IFERROR(INDEX(FBA仓库代码表!G:G,MATCH(E246,FBA仓库代码表!B:B,0)),"")</f>
        <v/>
      </c>
      <c r="AG246" s="21" t="str" cm="1">
        <f t="array" ref="AG246">IFERROR(INDEX(FBA仓库代码表!H:H,MATCH(E246,FBA仓库代码表!B:B,0)),"")</f>
        <v/>
      </c>
    </row>
    <row r="247" spans="30:33">
      <c r="AD247" s="21" t="str" cm="1">
        <f t="array" ref="AD247">IFERROR(INDEX(商品管理!E:E,MATCH(B247,商品管理!A:A,0)),"")</f>
        <v/>
      </c>
      <c r="AE247" s="21" t="str" cm="1">
        <f t="array" ref="AE247">IFERROR(INDEX(商品管理!F:F,MATCH(B247,商品管理!A:A,0)),"")</f>
        <v/>
      </c>
      <c r="AF247" s="21" t="str" cm="1">
        <f t="array" ref="AF247">IFERROR(INDEX(FBA仓库代码表!G:G,MATCH(E247,FBA仓库代码表!B:B,0)),"")</f>
        <v/>
      </c>
      <c r="AG247" s="21" t="str" cm="1">
        <f t="array" ref="AG247">IFERROR(INDEX(FBA仓库代码表!H:H,MATCH(E247,FBA仓库代码表!B:B,0)),"")</f>
        <v/>
      </c>
    </row>
    <row r="248" spans="30:33">
      <c r="AD248" s="21" t="str" cm="1">
        <f t="array" ref="AD248">IFERROR(INDEX(商品管理!E:E,MATCH(B248,商品管理!A:A,0)),"")</f>
        <v/>
      </c>
      <c r="AE248" s="21" t="str" cm="1">
        <f t="array" ref="AE248">IFERROR(INDEX(商品管理!F:F,MATCH(B248,商品管理!A:A,0)),"")</f>
        <v/>
      </c>
      <c r="AF248" s="21" t="str" cm="1">
        <f t="array" ref="AF248">IFERROR(INDEX(FBA仓库代码表!G:G,MATCH(E248,FBA仓库代码表!B:B,0)),"")</f>
        <v/>
      </c>
      <c r="AG248" s="21" t="str" cm="1">
        <f t="array" ref="AG248">IFERROR(INDEX(FBA仓库代码表!H:H,MATCH(E248,FBA仓库代码表!B:B,0)),"")</f>
        <v/>
      </c>
    </row>
    <row r="249" spans="30:33">
      <c r="AD249" s="21" t="str" cm="1">
        <f t="array" ref="AD249">IFERROR(INDEX(商品管理!E:E,MATCH(B249,商品管理!A:A,0)),"")</f>
        <v/>
      </c>
      <c r="AE249" s="21" t="str" cm="1">
        <f t="array" ref="AE249">IFERROR(INDEX(商品管理!F:F,MATCH(B249,商品管理!A:A,0)),"")</f>
        <v/>
      </c>
      <c r="AF249" s="21" t="str" cm="1">
        <f t="array" ref="AF249">IFERROR(INDEX(FBA仓库代码表!G:G,MATCH(E249,FBA仓库代码表!B:B,0)),"")</f>
        <v/>
      </c>
      <c r="AG249" s="21" t="str" cm="1">
        <f t="array" ref="AG249">IFERROR(INDEX(FBA仓库代码表!H:H,MATCH(E249,FBA仓库代码表!B:B,0)),"")</f>
        <v/>
      </c>
    </row>
    <row r="250" spans="30:33">
      <c r="AD250" s="21" t="str" cm="1">
        <f t="array" ref="AD250">IFERROR(INDEX(商品管理!E:E,MATCH(B250,商品管理!A:A,0)),"")</f>
        <v/>
      </c>
      <c r="AE250" s="21" t="str" cm="1">
        <f t="array" ref="AE250">IFERROR(INDEX(商品管理!F:F,MATCH(B250,商品管理!A:A,0)),"")</f>
        <v/>
      </c>
      <c r="AF250" s="21" t="str" cm="1">
        <f t="array" ref="AF250">IFERROR(INDEX(FBA仓库代码表!G:G,MATCH(E250,FBA仓库代码表!B:B,0)),"")</f>
        <v/>
      </c>
      <c r="AG250" s="21" t="str" cm="1">
        <f t="array" ref="AG250">IFERROR(INDEX(FBA仓库代码表!H:H,MATCH(E250,FBA仓库代码表!B:B,0)),"")</f>
        <v/>
      </c>
    </row>
    <row r="251" spans="30:33">
      <c r="AD251" s="21" t="str" cm="1">
        <f t="array" ref="AD251">IFERROR(INDEX(商品管理!E:E,MATCH(B251,商品管理!A:A,0)),"")</f>
        <v/>
      </c>
      <c r="AE251" s="21" t="str" cm="1">
        <f t="array" ref="AE251">IFERROR(INDEX(商品管理!F:F,MATCH(B251,商品管理!A:A,0)),"")</f>
        <v/>
      </c>
      <c r="AF251" s="21" t="str" cm="1">
        <f t="array" ref="AF251">IFERROR(INDEX(FBA仓库代码表!G:G,MATCH(E251,FBA仓库代码表!B:B,0)),"")</f>
        <v/>
      </c>
      <c r="AG251" s="21" t="str" cm="1">
        <f t="array" ref="AG251">IFERROR(INDEX(FBA仓库代码表!H:H,MATCH(E251,FBA仓库代码表!B:B,0)),"")</f>
        <v/>
      </c>
    </row>
    <row r="252" spans="30:33">
      <c r="AD252" s="21" t="str" cm="1">
        <f t="array" ref="AD252">IFERROR(INDEX(商品管理!E:E,MATCH(B252,商品管理!A:A,0)),"")</f>
        <v/>
      </c>
      <c r="AE252" s="21" t="str" cm="1">
        <f t="array" ref="AE252">IFERROR(INDEX(商品管理!F:F,MATCH(B252,商品管理!A:A,0)),"")</f>
        <v/>
      </c>
      <c r="AF252" s="21" t="str" cm="1">
        <f t="array" ref="AF252">IFERROR(INDEX(FBA仓库代码表!G:G,MATCH(E252,FBA仓库代码表!B:B,0)),"")</f>
        <v/>
      </c>
      <c r="AG252" s="21" t="str" cm="1">
        <f t="array" ref="AG252">IFERROR(INDEX(FBA仓库代码表!H:H,MATCH(E252,FBA仓库代码表!B:B,0)),"")</f>
        <v/>
      </c>
    </row>
    <row r="253" spans="30:33">
      <c r="AD253" s="21" t="str" cm="1">
        <f t="array" ref="AD253">IFERROR(INDEX(商品管理!E:E,MATCH(B253,商品管理!A:A,0)),"")</f>
        <v/>
      </c>
      <c r="AE253" s="21" t="str" cm="1">
        <f t="array" ref="AE253">IFERROR(INDEX(商品管理!F:F,MATCH(B253,商品管理!A:A,0)),"")</f>
        <v/>
      </c>
      <c r="AF253" s="21" t="str" cm="1">
        <f t="array" ref="AF253">IFERROR(INDEX(FBA仓库代码表!G:G,MATCH(E253,FBA仓库代码表!B:B,0)),"")</f>
        <v/>
      </c>
      <c r="AG253" s="21" t="str" cm="1">
        <f t="array" ref="AG253">IFERROR(INDEX(FBA仓库代码表!H:H,MATCH(E253,FBA仓库代码表!B:B,0)),"")</f>
        <v/>
      </c>
    </row>
    <row r="254" spans="30:33">
      <c r="AD254" s="21" t="str" cm="1">
        <f t="array" ref="AD254">IFERROR(INDEX(商品管理!E:E,MATCH(B254,商品管理!A:A,0)),"")</f>
        <v/>
      </c>
      <c r="AE254" s="21" t="str" cm="1">
        <f t="array" ref="AE254">IFERROR(INDEX(商品管理!F:F,MATCH(B254,商品管理!A:A,0)),"")</f>
        <v/>
      </c>
      <c r="AF254" s="21" t="str" cm="1">
        <f t="array" ref="AF254">IFERROR(INDEX(FBA仓库代码表!G:G,MATCH(E254,FBA仓库代码表!B:B,0)),"")</f>
        <v/>
      </c>
      <c r="AG254" s="21" t="str" cm="1">
        <f t="array" ref="AG254">IFERROR(INDEX(FBA仓库代码表!H:H,MATCH(E254,FBA仓库代码表!B:B,0)),"")</f>
        <v/>
      </c>
    </row>
    <row r="255" spans="30:33">
      <c r="AD255" s="21" t="str" cm="1">
        <f t="array" ref="AD255">IFERROR(INDEX(商品管理!E:E,MATCH(B255,商品管理!A:A,0)),"")</f>
        <v/>
      </c>
      <c r="AE255" s="21" t="str" cm="1">
        <f t="array" ref="AE255">IFERROR(INDEX(商品管理!F:F,MATCH(B255,商品管理!A:A,0)),"")</f>
        <v/>
      </c>
      <c r="AF255" s="21" t="str" cm="1">
        <f t="array" ref="AF255">IFERROR(INDEX(FBA仓库代码表!G:G,MATCH(E255,FBA仓库代码表!B:B,0)),"")</f>
        <v/>
      </c>
      <c r="AG255" s="21" t="str" cm="1">
        <f t="array" ref="AG255">IFERROR(INDEX(FBA仓库代码表!H:H,MATCH(E255,FBA仓库代码表!B:B,0)),"")</f>
        <v/>
      </c>
    </row>
    <row r="256" spans="30:33">
      <c r="AD256" s="21" t="str" cm="1">
        <f t="array" ref="AD256">IFERROR(INDEX(商品管理!E:E,MATCH(B256,商品管理!A:A,0)),"")</f>
        <v/>
      </c>
      <c r="AE256" s="21" t="str" cm="1">
        <f t="array" ref="AE256">IFERROR(INDEX(商品管理!F:F,MATCH(B256,商品管理!A:A,0)),"")</f>
        <v/>
      </c>
      <c r="AF256" s="21" t="str" cm="1">
        <f t="array" ref="AF256">IFERROR(INDEX(FBA仓库代码表!G:G,MATCH(E256,FBA仓库代码表!B:B,0)),"")</f>
        <v/>
      </c>
      <c r="AG256" s="21" t="str" cm="1">
        <f t="array" ref="AG256">IFERROR(INDEX(FBA仓库代码表!H:H,MATCH(E256,FBA仓库代码表!B:B,0)),"")</f>
        <v/>
      </c>
    </row>
    <row r="257" spans="30:33">
      <c r="AD257" s="21" t="str" cm="1">
        <f t="array" ref="AD257">IFERROR(INDEX(商品管理!E:E,MATCH(B257,商品管理!A:A,0)),"")</f>
        <v/>
      </c>
      <c r="AE257" s="21" t="str" cm="1">
        <f t="array" ref="AE257">IFERROR(INDEX(商品管理!F:F,MATCH(B257,商品管理!A:A,0)),"")</f>
        <v/>
      </c>
      <c r="AF257" s="21" t="str" cm="1">
        <f t="array" ref="AF257">IFERROR(INDEX(FBA仓库代码表!G:G,MATCH(E257,FBA仓库代码表!B:B,0)),"")</f>
        <v/>
      </c>
      <c r="AG257" s="21" t="str" cm="1">
        <f t="array" ref="AG257">IFERROR(INDEX(FBA仓库代码表!H:H,MATCH(E257,FBA仓库代码表!B:B,0)),"")</f>
        <v/>
      </c>
    </row>
    <row r="258" spans="30:33">
      <c r="AD258" s="21" t="str" cm="1">
        <f t="array" ref="AD258">IFERROR(INDEX(商品管理!E:E,MATCH(B258,商品管理!A:A,0)),"")</f>
        <v/>
      </c>
      <c r="AE258" s="21" t="str" cm="1">
        <f t="array" ref="AE258">IFERROR(INDEX(商品管理!F:F,MATCH(B258,商品管理!A:A,0)),"")</f>
        <v/>
      </c>
      <c r="AF258" s="21" t="str" cm="1">
        <f t="array" ref="AF258">IFERROR(INDEX(FBA仓库代码表!G:G,MATCH(E258,FBA仓库代码表!B:B,0)),"")</f>
        <v/>
      </c>
      <c r="AG258" s="21" t="str" cm="1">
        <f t="array" ref="AG258">IFERROR(INDEX(FBA仓库代码表!H:H,MATCH(E258,FBA仓库代码表!B:B,0)),"")</f>
        <v/>
      </c>
    </row>
    <row r="259" spans="30:33">
      <c r="AD259" s="21" t="str" cm="1">
        <f t="array" ref="AD259">IFERROR(INDEX(商品管理!E:E,MATCH(B259,商品管理!A:A,0)),"")</f>
        <v/>
      </c>
      <c r="AE259" s="21" t="str" cm="1">
        <f t="array" ref="AE259">IFERROR(INDEX(商品管理!F:F,MATCH(B259,商品管理!A:A,0)),"")</f>
        <v/>
      </c>
      <c r="AF259" s="21" t="str" cm="1">
        <f t="array" ref="AF259">IFERROR(INDEX(FBA仓库代码表!G:G,MATCH(E259,FBA仓库代码表!B:B,0)),"")</f>
        <v/>
      </c>
      <c r="AG259" s="21" t="str" cm="1">
        <f t="array" ref="AG259">IFERROR(INDEX(FBA仓库代码表!H:H,MATCH(E259,FBA仓库代码表!B:B,0)),"")</f>
        <v/>
      </c>
    </row>
    <row r="260" spans="30:33">
      <c r="AD260" s="21" t="str" cm="1">
        <f t="array" ref="AD260">IFERROR(INDEX(商品管理!E:E,MATCH(B260,商品管理!A:A,0)),"")</f>
        <v/>
      </c>
      <c r="AE260" s="21" t="str" cm="1">
        <f t="array" ref="AE260">IFERROR(INDEX(商品管理!F:F,MATCH(B260,商品管理!A:A,0)),"")</f>
        <v/>
      </c>
      <c r="AF260" s="21" t="str" cm="1">
        <f t="array" ref="AF260">IFERROR(INDEX(FBA仓库代码表!G:G,MATCH(E260,FBA仓库代码表!B:B,0)),"")</f>
        <v/>
      </c>
      <c r="AG260" s="21" t="str" cm="1">
        <f t="array" ref="AG260">IFERROR(INDEX(FBA仓库代码表!H:H,MATCH(E260,FBA仓库代码表!B:B,0)),"")</f>
        <v/>
      </c>
    </row>
    <row r="261" spans="30:33">
      <c r="AD261" s="21" t="str" cm="1">
        <f t="array" ref="AD261">IFERROR(INDEX(商品管理!E:E,MATCH(B261,商品管理!A:A,0)),"")</f>
        <v/>
      </c>
      <c r="AE261" s="21" t="str" cm="1">
        <f t="array" ref="AE261">IFERROR(INDEX(商品管理!F:F,MATCH(B261,商品管理!A:A,0)),"")</f>
        <v/>
      </c>
      <c r="AF261" s="21" t="str" cm="1">
        <f t="array" ref="AF261">IFERROR(INDEX(FBA仓库代码表!G:G,MATCH(E261,FBA仓库代码表!B:B,0)),"")</f>
        <v/>
      </c>
      <c r="AG261" s="21" t="str" cm="1">
        <f t="array" ref="AG261">IFERROR(INDEX(FBA仓库代码表!H:H,MATCH(E261,FBA仓库代码表!B:B,0)),"")</f>
        <v/>
      </c>
    </row>
    <row r="262" spans="30:33">
      <c r="AD262" s="21" t="str" cm="1">
        <f t="array" ref="AD262">IFERROR(INDEX(商品管理!E:E,MATCH(B262,商品管理!A:A,0)),"")</f>
        <v/>
      </c>
      <c r="AE262" s="21" t="str" cm="1">
        <f t="array" ref="AE262">IFERROR(INDEX(商品管理!F:F,MATCH(B262,商品管理!A:A,0)),"")</f>
        <v/>
      </c>
      <c r="AF262" s="21" t="str" cm="1">
        <f t="array" ref="AF262">IFERROR(INDEX(FBA仓库代码表!G:G,MATCH(E262,FBA仓库代码表!B:B,0)),"")</f>
        <v/>
      </c>
      <c r="AG262" s="21" t="str" cm="1">
        <f t="array" ref="AG262">IFERROR(INDEX(FBA仓库代码表!H:H,MATCH(E262,FBA仓库代码表!B:B,0)),"")</f>
        <v/>
      </c>
    </row>
    <row r="263" spans="30:33">
      <c r="AD263" s="21" t="str" cm="1">
        <f t="array" ref="AD263">IFERROR(INDEX(商品管理!E:E,MATCH(B263,商品管理!A:A,0)),"")</f>
        <v/>
      </c>
      <c r="AE263" s="21" t="str" cm="1">
        <f t="array" ref="AE263">IFERROR(INDEX(商品管理!F:F,MATCH(B263,商品管理!A:A,0)),"")</f>
        <v/>
      </c>
      <c r="AF263" s="21" t="str" cm="1">
        <f t="array" ref="AF263">IFERROR(INDEX(FBA仓库代码表!G:G,MATCH(E263,FBA仓库代码表!B:B,0)),"")</f>
        <v/>
      </c>
      <c r="AG263" s="21" t="str" cm="1">
        <f t="array" ref="AG263">IFERROR(INDEX(FBA仓库代码表!H:H,MATCH(E263,FBA仓库代码表!B:B,0)),"")</f>
        <v/>
      </c>
    </row>
    <row r="264" spans="30:33">
      <c r="AD264" s="21" t="str" cm="1">
        <f t="array" ref="AD264">IFERROR(INDEX(商品管理!E:E,MATCH(B264,商品管理!A:A,0)),"")</f>
        <v/>
      </c>
      <c r="AE264" s="21" t="str" cm="1">
        <f t="array" ref="AE264">IFERROR(INDEX(商品管理!F:F,MATCH(B264,商品管理!A:A,0)),"")</f>
        <v/>
      </c>
      <c r="AF264" s="21" t="str" cm="1">
        <f t="array" ref="AF264">IFERROR(INDEX(FBA仓库代码表!G:G,MATCH(E264,FBA仓库代码表!B:B,0)),"")</f>
        <v/>
      </c>
      <c r="AG264" s="21" t="str" cm="1">
        <f t="array" ref="AG264">IFERROR(INDEX(FBA仓库代码表!H:H,MATCH(E264,FBA仓库代码表!B:B,0)),"")</f>
        <v/>
      </c>
    </row>
    <row r="265" spans="30:33">
      <c r="AD265" s="21" t="str" cm="1">
        <f t="array" ref="AD265">IFERROR(INDEX(商品管理!E:E,MATCH(B265,商品管理!A:A,0)),"")</f>
        <v/>
      </c>
      <c r="AE265" s="21" t="str" cm="1">
        <f t="array" ref="AE265">IFERROR(INDEX(商品管理!F:F,MATCH(B265,商品管理!A:A,0)),"")</f>
        <v/>
      </c>
      <c r="AF265" s="21" t="str" cm="1">
        <f t="array" ref="AF265">IFERROR(INDEX(FBA仓库代码表!G:G,MATCH(E265,FBA仓库代码表!B:B,0)),"")</f>
        <v/>
      </c>
      <c r="AG265" s="21" t="str" cm="1">
        <f t="array" ref="AG265">IFERROR(INDEX(FBA仓库代码表!H:H,MATCH(E265,FBA仓库代码表!B:B,0)),"")</f>
        <v/>
      </c>
    </row>
    <row r="266" spans="30:33">
      <c r="AD266" s="21" t="str" cm="1">
        <f t="array" ref="AD266">IFERROR(INDEX(商品管理!E:E,MATCH(B266,商品管理!A:A,0)),"")</f>
        <v/>
      </c>
      <c r="AE266" s="21" t="str" cm="1">
        <f t="array" ref="AE266">IFERROR(INDEX(商品管理!F:F,MATCH(B266,商品管理!A:A,0)),"")</f>
        <v/>
      </c>
      <c r="AF266" s="21" t="str" cm="1">
        <f t="array" ref="AF266">IFERROR(INDEX(FBA仓库代码表!G:G,MATCH(E266,FBA仓库代码表!B:B,0)),"")</f>
        <v/>
      </c>
      <c r="AG266" s="21" t="str" cm="1">
        <f t="array" ref="AG266">IFERROR(INDEX(FBA仓库代码表!H:H,MATCH(E266,FBA仓库代码表!B:B,0)),"")</f>
        <v/>
      </c>
    </row>
    <row r="267" spans="30:33">
      <c r="AD267" s="21" t="str" cm="1">
        <f t="array" ref="AD267">IFERROR(INDEX(商品管理!E:E,MATCH(B267,商品管理!A:A,0)),"")</f>
        <v/>
      </c>
      <c r="AE267" s="21" t="str" cm="1">
        <f t="array" ref="AE267">IFERROR(INDEX(商品管理!F:F,MATCH(B267,商品管理!A:A,0)),"")</f>
        <v/>
      </c>
      <c r="AF267" s="21" t="str" cm="1">
        <f t="array" ref="AF267">IFERROR(INDEX(FBA仓库代码表!G:G,MATCH(E267,FBA仓库代码表!B:B,0)),"")</f>
        <v/>
      </c>
      <c r="AG267" s="21" t="str" cm="1">
        <f t="array" ref="AG267">IFERROR(INDEX(FBA仓库代码表!H:H,MATCH(E267,FBA仓库代码表!B:B,0)),"")</f>
        <v/>
      </c>
    </row>
    <row r="268" spans="30:33">
      <c r="AD268" s="21" t="str" cm="1">
        <f t="array" ref="AD268">IFERROR(INDEX(商品管理!E:E,MATCH(B268,商品管理!A:A,0)),"")</f>
        <v/>
      </c>
      <c r="AE268" s="21" t="str" cm="1">
        <f t="array" ref="AE268">IFERROR(INDEX(商品管理!F:F,MATCH(B268,商品管理!A:A,0)),"")</f>
        <v/>
      </c>
      <c r="AF268" s="21" t="str" cm="1">
        <f t="array" ref="AF268">IFERROR(INDEX(FBA仓库代码表!G:G,MATCH(E268,FBA仓库代码表!B:B,0)),"")</f>
        <v/>
      </c>
      <c r="AG268" s="21" t="str" cm="1">
        <f t="array" ref="AG268">IFERROR(INDEX(FBA仓库代码表!H:H,MATCH(E268,FBA仓库代码表!B:B,0)),"")</f>
        <v/>
      </c>
    </row>
    <row r="269" spans="30:33">
      <c r="AD269" s="21" t="str" cm="1">
        <f t="array" ref="AD269">IFERROR(INDEX(商品管理!E:E,MATCH(B269,商品管理!A:A,0)),"")</f>
        <v/>
      </c>
      <c r="AE269" s="21" t="str" cm="1">
        <f t="array" ref="AE269">IFERROR(INDEX(商品管理!F:F,MATCH(B269,商品管理!A:A,0)),"")</f>
        <v/>
      </c>
      <c r="AF269" s="21" t="str" cm="1">
        <f t="array" ref="AF269">IFERROR(INDEX(FBA仓库代码表!G:G,MATCH(E269,FBA仓库代码表!B:B,0)),"")</f>
        <v/>
      </c>
      <c r="AG269" s="21" t="str" cm="1">
        <f t="array" ref="AG269">IFERROR(INDEX(FBA仓库代码表!H:H,MATCH(E269,FBA仓库代码表!B:B,0)),"")</f>
        <v/>
      </c>
    </row>
    <row r="270" spans="30:33">
      <c r="AD270" s="21" t="str" cm="1">
        <f t="array" ref="AD270">IFERROR(INDEX(商品管理!E:E,MATCH(B270,商品管理!A:A,0)),"")</f>
        <v/>
      </c>
      <c r="AE270" s="21" t="str" cm="1">
        <f t="array" ref="AE270">IFERROR(INDEX(商品管理!F:F,MATCH(B270,商品管理!A:A,0)),"")</f>
        <v/>
      </c>
      <c r="AF270" s="21" t="str" cm="1">
        <f t="array" ref="AF270">IFERROR(INDEX(FBA仓库代码表!G:G,MATCH(E270,FBA仓库代码表!B:B,0)),"")</f>
        <v/>
      </c>
      <c r="AG270" s="21" t="str" cm="1">
        <f t="array" ref="AG270">IFERROR(INDEX(FBA仓库代码表!H:H,MATCH(E270,FBA仓库代码表!B:B,0)),"")</f>
        <v/>
      </c>
    </row>
    <row r="271" spans="30:33">
      <c r="AD271" s="21" t="str" cm="1">
        <f t="array" ref="AD271">IFERROR(INDEX(商品管理!E:E,MATCH(B271,商品管理!A:A,0)),"")</f>
        <v/>
      </c>
      <c r="AE271" s="21" t="str" cm="1">
        <f t="array" ref="AE271">IFERROR(INDEX(商品管理!F:F,MATCH(B271,商品管理!A:A,0)),"")</f>
        <v/>
      </c>
      <c r="AF271" s="21" t="str" cm="1">
        <f t="array" ref="AF271">IFERROR(INDEX(FBA仓库代码表!G:G,MATCH(E271,FBA仓库代码表!B:B,0)),"")</f>
        <v/>
      </c>
      <c r="AG271" s="21" t="str" cm="1">
        <f t="array" ref="AG271">IFERROR(INDEX(FBA仓库代码表!H:H,MATCH(E271,FBA仓库代码表!B:B,0)),"")</f>
        <v/>
      </c>
    </row>
    <row r="272" spans="30:33">
      <c r="AD272" s="21" t="str" cm="1">
        <f t="array" ref="AD272">IFERROR(INDEX(商品管理!E:E,MATCH(B272,商品管理!A:A,0)),"")</f>
        <v/>
      </c>
      <c r="AE272" s="21" t="str" cm="1">
        <f t="array" ref="AE272">IFERROR(INDEX(商品管理!F:F,MATCH(B272,商品管理!A:A,0)),"")</f>
        <v/>
      </c>
      <c r="AF272" s="21" t="str" cm="1">
        <f t="array" ref="AF272">IFERROR(INDEX(FBA仓库代码表!G:G,MATCH(E272,FBA仓库代码表!B:B,0)),"")</f>
        <v/>
      </c>
      <c r="AG272" s="21" t="str" cm="1">
        <f t="array" ref="AG272">IFERROR(INDEX(FBA仓库代码表!H:H,MATCH(E272,FBA仓库代码表!B:B,0)),"")</f>
        <v/>
      </c>
    </row>
    <row r="273" spans="30:33">
      <c r="AD273" s="21" t="str" cm="1">
        <f t="array" ref="AD273">IFERROR(INDEX(商品管理!E:E,MATCH(B273,商品管理!A:A,0)),"")</f>
        <v/>
      </c>
      <c r="AE273" s="21" t="str" cm="1">
        <f t="array" ref="AE273">IFERROR(INDEX(商品管理!F:F,MATCH(B273,商品管理!A:A,0)),"")</f>
        <v/>
      </c>
      <c r="AF273" s="21" t="str" cm="1">
        <f t="array" ref="AF273">IFERROR(INDEX(FBA仓库代码表!G:G,MATCH(E273,FBA仓库代码表!B:B,0)),"")</f>
        <v/>
      </c>
      <c r="AG273" s="21" t="str" cm="1">
        <f t="array" ref="AG273">IFERROR(INDEX(FBA仓库代码表!H:H,MATCH(E273,FBA仓库代码表!B:B,0)),"")</f>
        <v/>
      </c>
    </row>
    <row r="274" spans="30:33">
      <c r="AD274" s="21" t="str" cm="1">
        <f t="array" ref="AD274">IFERROR(INDEX(商品管理!E:E,MATCH(B274,商品管理!A:A,0)),"")</f>
        <v/>
      </c>
      <c r="AE274" s="21" t="str" cm="1">
        <f t="array" ref="AE274">IFERROR(INDEX(商品管理!F:F,MATCH(B274,商品管理!A:A,0)),"")</f>
        <v/>
      </c>
      <c r="AF274" s="21" t="str" cm="1">
        <f t="array" ref="AF274">IFERROR(INDEX(FBA仓库代码表!G:G,MATCH(E274,FBA仓库代码表!B:B,0)),"")</f>
        <v/>
      </c>
      <c r="AG274" s="21" t="str" cm="1">
        <f t="array" ref="AG274">IFERROR(INDEX(FBA仓库代码表!H:H,MATCH(E274,FBA仓库代码表!B:B,0)),"")</f>
        <v/>
      </c>
    </row>
    <row r="275" spans="30:33">
      <c r="AD275" s="21" t="str" cm="1">
        <f t="array" ref="AD275">IFERROR(INDEX(商品管理!E:E,MATCH(B275,商品管理!A:A,0)),"")</f>
        <v/>
      </c>
      <c r="AE275" s="21" t="str" cm="1">
        <f t="array" ref="AE275">IFERROR(INDEX(商品管理!F:F,MATCH(B275,商品管理!A:A,0)),"")</f>
        <v/>
      </c>
      <c r="AF275" s="21" t="str" cm="1">
        <f t="array" ref="AF275">IFERROR(INDEX(FBA仓库代码表!G:G,MATCH(E275,FBA仓库代码表!B:B,0)),"")</f>
        <v/>
      </c>
      <c r="AG275" s="21" t="str" cm="1">
        <f t="array" ref="AG275">IFERROR(INDEX(FBA仓库代码表!H:H,MATCH(E275,FBA仓库代码表!B:B,0)),"")</f>
        <v/>
      </c>
    </row>
    <row r="276" spans="30:33">
      <c r="AD276" s="21" t="str" cm="1">
        <f t="array" ref="AD276">IFERROR(INDEX(商品管理!E:E,MATCH(B276,商品管理!A:A,0)),"")</f>
        <v/>
      </c>
      <c r="AE276" s="21" t="str" cm="1">
        <f t="array" ref="AE276">IFERROR(INDEX(商品管理!F:F,MATCH(B276,商品管理!A:A,0)),"")</f>
        <v/>
      </c>
      <c r="AF276" s="21" t="str" cm="1">
        <f t="array" ref="AF276">IFERROR(INDEX(FBA仓库代码表!G:G,MATCH(E276,FBA仓库代码表!B:B,0)),"")</f>
        <v/>
      </c>
      <c r="AG276" s="21" t="str" cm="1">
        <f t="array" ref="AG276">IFERROR(INDEX(FBA仓库代码表!H:H,MATCH(E276,FBA仓库代码表!B:B,0)),"")</f>
        <v/>
      </c>
    </row>
    <row r="277" spans="30:33">
      <c r="AD277" s="21" t="str" cm="1">
        <f t="array" ref="AD277">IFERROR(INDEX(商品管理!E:E,MATCH(B277,商品管理!A:A,0)),"")</f>
        <v/>
      </c>
      <c r="AE277" s="21" t="str" cm="1">
        <f t="array" ref="AE277">IFERROR(INDEX(商品管理!F:F,MATCH(B277,商品管理!A:A,0)),"")</f>
        <v/>
      </c>
      <c r="AF277" s="21" t="str" cm="1">
        <f t="array" ref="AF277">IFERROR(INDEX(FBA仓库代码表!G:G,MATCH(E277,FBA仓库代码表!B:B,0)),"")</f>
        <v/>
      </c>
      <c r="AG277" s="21" t="str" cm="1">
        <f t="array" ref="AG277">IFERROR(INDEX(FBA仓库代码表!H:H,MATCH(E277,FBA仓库代码表!B:B,0)),"")</f>
        <v/>
      </c>
    </row>
    <row r="278" spans="30:33">
      <c r="AD278" s="21" t="str" cm="1">
        <f t="array" ref="AD278">IFERROR(INDEX(商品管理!E:E,MATCH(B278,商品管理!A:A,0)),"")</f>
        <v/>
      </c>
      <c r="AE278" s="21" t="str" cm="1">
        <f t="array" ref="AE278">IFERROR(INDEX(商品管理!F:F,MATCH(B278,商品管理!A:A,0)),"")</f>
        <v/>
      </c>
      <c r="AF278" s="21" t="str" cm="1">
        <f t="array" ref="AF278">IFERROR(INDEX(FBA仓库代码表!G:G,MATCH(E278,FBA仓库代码表!B:B,0)),"")</f>
        <v/>
      </c>
      <c r="AG278" s="21" t="str" cm="1">
        <f t="array" ref="AG278">IFERROR(INDEX(FBA仓库代码表!H:H,MATCH(E278,FBA仓库代码表!B:B,0)),"")</f>
        <v/>
      </c>
    </row>
    <row r="279" spans="30:33">
      <c r="AD279" s="21" t="str" cm="1">
        <f t="array" ref="AD279">IFERROR(INDEX(商品管理!E:E,MATCH(B279,商品管理!A:A,0)),"")</f>
        <v/>
      </c>
      <c r="AE279" s="21" t="str" cm="1">
        <f t="array" ref="AE279">IFERROR(INDEX(商品管理!F:F,MATCH(B279,商品管理!A:A,0)),"")</f>
        <v/>
      </c>
      <c r="AF279" s="21" t="str" cm="1">
        <f t="array" ref="AF279">IFERROR(INDEX(FBA仓库代码表!G:G,MATCH(E279,FBA仓库代码表!B:B,0)),"")</f>
        <v/>
      </c>
      <c r="AG279" s="21" t="str" cm="1">
        <f t="array" ref="AG279">IFERROR(INDEX(FBA仓库代码表!H:H,MATCH(E279,FBA仓库代码表!B:B,0)),"")</f>
        <v/>
      </c>
    </row>
    <row r="280" spans="30:33">
      <c r="AD280" s="21" t="str" cm="1">
        <f t="array" ref="AD280">IFERROR(INDEX(商品管理!E:E,MATCH(B280,商品管理!A:A,0)),"")</f>
        <v/>
      </c>
      <c r="AE280" s="21" t="str" cm="1">
        <f t="array" ref="AE280">IFERROR(INDEX(商品管理!F:F,MATCH(B280,商品管理!A:A,0)),"")</f>
        <v/>
      </c>
      <c r="AF280" s="21" t="str" cm="1">
        <f t="array" ref="AF280">IFERROR(INDEX(FBA仓库代码表!G:G,MATCH(E280,FBA仓库代码表!B:B,0)),"")</f>
        <v/>
      </c>
      <c r="AG280" s="21" t="str" cm="1">
        <f t="array" ref="AG280">IFERROR(INDEX(FBA仓库代码表!H:H,MATCH(E280,FBA仓库代码表!B:B,0)),"")</f>
        <v/>
      </c>
    </row>
    <row r="281" spans="30:33">
      <c r="AD281" s="21" t="str" cm="1">
        <f t="array" ref="AD281">IFERROR(INDEX(商品管理!E:E,MATCH(B281,商品管理!A:A,0)),"")</f>
        <v/>
      </c>
      <c r="AE281" s="21" t="str" cm="1">
        <f t="array" ref="AE281">IFERROR(INDEX(商品管理!F:F,MATCH(B281,商品管理!A:A,0)),"")</f>
        <v/>
      </c>
      <c r="AF281" s="21" t="str" cm="1">
        <f t="array" ref="AF281">IFERROR(INDEX(FBA仓库代码表!G:G,MATCH(E281,FBA仓库代码表!B:B,0)),"")</f>
        <v/>
      </c>
      <c r="AG281" s="21" t="str" cm="1">
        <f t="array" ref="AG281">IFERROR(INDEX(FBA仓库代码表!H:H,MATCH(E281,FBA仓库代码表!B:B,0)),"")</f>
        <v/>
      </c>
    </row>
    <row r="282" spans="30:33">
      <c r="AD282" s="21" t="str" cm="1">
        <f t="array" ref="AD282">IFERROR(INDEX(商品管理!E:E,MATCH(B282,商品管理!A:A,0)),"")</f>
        <v/>
      </c>
      <c r="AE282" s="21" t="str" cm="1">
        <f t="array" ref="AE282">IFERROR(INDEX(商品管理!F:F,MATCH(B282,商品管理!A:A,0)),"")</f>
        <v/>
      </c>
      <c r="AF282" s="21" t="str" cm="1">
        <f t="array" ref="AF282">IFERROR(INDEX(FBA仓库代码表!G:G,MATCH(E282,FBA仓库代码表!B:B,0)),"")</f>
        <v/>
      </c>
      <c r="AG282" s="21" t="str" cm="1">
        <f t="array" ref="AG282">IFERROR(INDEX(FBA仓库代码表!H:H,MATCH(E282,FBA仓库代码表!B:B,0)),"")</f>
        <v/>
      </c>
    </row>
    <row r="283" spans="30:33">
      <c r="AD283" s="21" t="str" cm="1">
        <f t="array" ref="AD283">IFERROR(INDEX(商品管理!E:E,MATCH(B283,商品管理!A:A,0)),"")</f>
        <v/>
      </c>
      <c r="AE283" s="21" t="str" cm="1">
        <f t="array" ref="AE283">IFERROR(INDEX(商品管理!F:F,MATCH(B283,商品管理!A:A,0)),"")</f>
        <v/>
      </c>
      <c r="AF283" s="21" t="str" cm="1">
        <f t="array" ref="AF283">IFERROR(INDEX(FBA仓库代码表!G:G,MATCH(E283,FBA仓库代码表!B:B,0)),"")</f>
        <v/>
      </c>
      <c r="AG283" s="21" t="str" cm="1">
        <f t="array" ref="AG283">IFERROR(INDEX(FBA仓库代码表!H:H,MATCH(E283,FBA仓库代码表!B:B,0)),"")</f>
        <v/>
      </c>
    </row>
    <row r="284" spans="30:33">
      <c r="AD284" s="21" t="str" cm="1">
        <f t="array" ref="AD284">IFERROR(INDEX(商品管理!E:E,MATCH(B284,商品管理!A:A,0)),"")</f>
        <v/>
      </c>
      <c r="AE284" s="21" t="str" cm="1">
        <f t="array" ref="AE284">IFERROR(INDEX(商品管理!F:F,MATCH(B284,商品管理!A:A,0)),"")</f>
        <v/>
      </c>
      <c r="AF284" s="21" t="str" cm="1">
        <f t="array" ref="AF284">IFERROR(INDEX(FBA仓库代码表!G:G,MATCH(E284,FBA仓库代码表!B:B,0)),"")</f>
        <v/>
      </c>
      <c r="AG284" s="21" t="str" cm="1">
        <f t="array" ref="AG284">IFERROR(INDEX(FBA仓库代码表!H:H,MATCH(E284,FBA仓库代码表!B:B,0)),"")</f>
        <v/>
      </c>
    </row>
    <row r="285" spans="30:33">
      <c r="AD285" s="21" t="str" cm="1">
        <f t="array" ref="AD285">IFERROR(INDEX(商品管理!E:E,MATCH(B285,商品管理!A:A,0)),"")</f>
        <v/>
      </c>
      <c r="AE285" s="21" t="str" cm="1">
        <f t="array" ref="AE285">IFERROR(INDEX(商品管理!F:F,MATCH(B285,商品管理!A:A,0)),"")</f>
        <v/>
      </c>
      <c r="AF285" s="21" t="str" cm="1">
        <f t="array" ref="AF285">IFERROR(INDEX(FBA仓库代码表!G:G,MATCH(E285,FBA仓库代码表!B:B,0)),"")</f>
        <v/>
      </c>
      <c r="AG285" s="21" t="str" cm="1">
        <f t="array" ref="AG285">IFERROR(INDEX(FBA仓库代码表!H:H,MATCH(E285,FBA仓库代码表!B:B,0)),"")</f>
        <v/>
      </c>
    </row>
    <row r="286" spans="30:33">
      <c r="AD286" s="21" t="str" cm="1">
        <f t="array" ref="AD286">IFERROR(INDEX(商品管理!E:E,MATCH(B286,商品管理!A:A,0)),"")</f>
        <v/>
      </c>
      <c r="AE286" s="21" t="str" cm="1">
        <f t="array" ref="AE286">IFERROR(INDEX(商品管理!F:F,MATCH(B286,商品管理!A:A,0)),"")</f>
        <v/>
      </c>
      <c r="AF286" s="21" t="str" cm="1">
        <f t="array" ref="AF286">IFERROR(INDEX(FBA仓库代码表!G:G,MATCH(E286,FBA仓库代码表!B:B,0)),"")</f>
        <v/>
      </c>
      <c r="AG286" s="21" t="str" cm="1">
        <f t="array" ref="AG286">IFERROR(INDEX(FBA仓库代码表!H:H,MATCH(E286,FBA仓库代码表!B:B,0)),"")</f>
        <v/>
      </c>
    </row>
    <row r="287" spans="30:33">
      <c r="AD287" s="21" t="str" cm="1">
        <f t="array" ref="AD287">IFERROR(INDEX(商品管理!E:E,MATCH(B287,商品管理!A:A,0)),"")</f>
        <v/>
      </c>
      <c r="AE287" s="21" t="str" cm="1">
        <f t="array" ref="AE287">IFERROR(INDEX(商品管理!F:F,MATCH(B287,商品管理!A:A,0)),"")</f>
        <v/>
      </c>
      <c r="AF287" s="21" t="str" cm="1">
        <f t="array" ref="AF287">IFERROR(INDEX(FBA仓库代码表!G:G,MATCH(E287,FBA仓库代码表!B:B,0)),"")</f>
        <v/>
      </c>
      <c r="AG287" s="21" t="str" cm="1">
        <f t="array" ref="AG287">IFERROR(INDEX(FBA仓库代码表!H:H,MATCH(E287,FBA仓库代码表!B:B,0)),"")</f>
        <v/>
      </c>
    </row>
    <row r="288" spans="30:33">
      <c r="AD288" s="21" t="str" cm="1">
        <f t="array" ref="AD288">IFERROR(INDEX(商品管理!E:E,MATCH(B288,商品管理!A:A,0)),"")</f>
        <v/>
      </c>
      <c r="AE288" s="21" t="str" cm="1">
        <f t="array" ref="AE288">IFERROR(INDEX(商品管理!F:F,MATCH(B288,商品管理!A:A,0)),"")</f>
        <v/>
      </c>
      <c r="AF288" s="21" t="str" cm="1">
        <f t="array" ref="AF288">IFERROR(INDEX(FBA仓库代码表!G:G,MATCH(E288,FBA仓库代码表!B:B,0)),"")</f>
        <v/>
      </c>
      <c r="AG288" s="21" t="str" cm="1">
        <f t="array" ref="AG288">IFERROR(INDEX(FBA仓库代码表!H:H,MATCH(E288,FBA仓库代码表!B:B,0)),"")</f>
        <v/>
      </c>
    </row>
    <row r="289" spans="30:33">
      <c r="AD289" s="21" t="str" cm="1">
        <f t="array" ref="AD289">IFERROR(INDEX(商品管理!E:E,MATCH(B289,商品管理!A:A,0)),"")</f>
        <v/>
      </c>
      <c r="AE289" s="21" t="str" cm="1">
        <f t="array" ref="AE289">IFERROR(INDEX(商品管理!F:F,MATCH(B289,商品管理!A:A,0)),"")</f>
        <v/>
      </c>
      <c r="AF289" s="21" t="str" cm="1">
        <f t="array" ref="AF289">IFERROR(INDEX(FBA仓库代码表!G:G,MATCH(E289,FBA仓库代码表!B:B,0)),"")</f>
        <v/>
      </c>
      <c r="AG289" s="21" t="str" cm="1">
        <f t="array" ref="AG289">IFERROR(INDEX(FBA仓库代码表!H:H,MATCH(E289,FBA仓库代码表!B:B,0)),"")</f>
        <v/>
      </c>
    </row>
    <row r="290" spans="30:33">
      <c r="AD290" s="21" t="str" cm="1">
        <f t="array" ref="AD290">IFERROR(INDEX(商品管理!E:E,MATCH(B290,商品管理!A:A,0)),"")</f>
        <v/>
      </c>
      <c r="AE290" s="21" t="str" cm="1">
        <f t="array" ref="AE290">IFERROR(INDEX(商品管理!F:F,MATCH(B290,商品管理!A:A,0)),"")</f>
        <v/>
      </c>
      <c r="AF290" s="21" t="str" cm="1">
        <f t="array" ref="AF290">IFERROR(INDEX(FBA仓库代码表!G:G,MATCH(E290,FBA仓库代码表!B:B,0)),"")</f>
        <v/>
      </c>
      <c r="AG290" s="21" t="str" cm="1">
        <f t="array" ref="AG290">IFERROR(INDEX(FBA仓库代码表!H:H,MATCH(E290,FBA仓库代码表!B:B,0)),"")</f>
        <v/>
      </c>
    </row>
    <row r="291" spans="30:33">
      <c r="AD291" s="21" t="str" cm="1">
        <f t="array" ref="AD291">IFERROR(INDEX(商品管理!E:E,MATCH(B291,商品管理!A:A,0)),"")</f>
        <v/>
      </c>
      <c r="AE291" s="21" t="str" cm="1">
        <f t="array" ref="AE291">IFERROR(INDEX(商品管理!F:F,MATCH(B291,商品管理!A:A,0)),"")</f>
        <v/>
      </c>
      <c r="AF291" s="21" t="str" cm="1">
        <f t="array" ref="AF291">IFERROR(INDEX(FBA仓库代码表!G:G,MATCH(E291,FBA仓库代码表!B:B,0)),"")</f>
        <v/>
      </c>
      <c r="AG291" s="21" t="str" cm="1">
        <f t="array" ref="AG291">IFERROR(INDEX(FBA仓库代码表!H:H,MATCH(E291,FBA仓库代码表!B:B,0)),"")</f>
        <v/>
      </c>
    </row>
    <row r="292" spans="30:33">
      <c r="AD292" s="21" t="str" cm="1">
        <f t="array" ref="AD292">IFERROR(INDEX(商品管理!E:E,MATCH(B292,商品管理!A:A,0)),"")</f>
        <v/>
      </c>
      <c r="AE292" s="21" t="str" cm="1">
        <f t="array" ref="AE292">IFERROR(INDEX(商品管理!F:F,MATCH(B292,商品管理!A:A,0)),"")</f>
        <v/>
      </c>
      <c r="AF292" s="21" t="str" cm="1">
        <f t="array" ref="AF292">IFERROR(INDEX(FBA仓库代码表!G:G,MATCH(E292,FBA仓库代码表!B:B,0)),"")</f>
        <v/>
      </c>
      <c r="AG292" s="21" t="str" cm="1">
        <f t="array" ref="AG292">IFERROR(INDEX(FBA仓库代码表!H:H,MATCH(E292,FBA仓库代码表!B:B,0)),"")</f>
        <v/>
      </c>
    </row>
    <row r="293" spans="30:33">
      <c r="AD293" s="21" t="str" cm="1">
        <f t="array" ref="AD293">IFERROR(INDEX(商品管理!E:E,MATCH(B293,商品管理!A:A,0)),"")</f>
        <v/>
      </c>
      <c r="AE293" s="21" t="str" cm="1">
        <f t="array" ref="AE293">IFERROR(INDEX(商品管理!F:F,MATCH(B293,商品管理!A:A,0)),"")</f>
        <v/>
      </c>
      <c r="AF293" s="21" t="str" cm="1">
        <f t="array" ref="AF293">IFERROR(INDEX(FBA仓库代码表!G:G,MATCH(E293,FBA仓库代码表!B:B,0)),"")</f>
        <v/>
      </c>
      <c r="AG293" s="21" t="str" cm="1">
        <f t="array" ref="AG293">IFERROR(INDEX(FBA仓库代码表!H:H,MATCH(E293,FBA仓库代码表!B:B,0)),"")</f>
        <v/>
      </c>
    </row>
    <row r="294" spans="30:33">
      <c r="AD294" s="21" t="str" cm="1">
        <f t="array" ref="AD294">IFERROR(INDEX(商品管理!E:E,MATCH(B294,商品管理!A:A,0)),"")</f>
        <v/>
      </c>
      <c r="AE294" s="21" t="str" cm="1">
        <f t="array" ref="AE294">IFERROR(INDEX(商品管理!F:F,MATCH(B294,商品管理!A:A,0)),"")</f>
        <v/>
      </c>
      <c r="AF294" s="21" t="str" cm="1">
        <f t="array" ref="AF294">IFERROR(INDEX(FBA仓库代码表!G:G,MATCH(E294,FBA仓库代码表!B:B,0)),"")</f>
        <v/>
      </c>
      <c r="AG294" s="21" t="str" cm="1">
        <f t="array" ref="AG294">IFERROR(INDEX(FBA仓库代码表!H:H,MATCH(E294,FBA仓库代码表!B:B,0)),"")</f>
        <v/>
      </c>
    </row>
    <row r="295" spans="30:33">
      <c r="AD295" s="21" t="str" cm="1">
        <f t="array" ref="AD295">IFERROR(INDEX(商品管理!E:E,MATCH(B295,商品管理!A:A,0)),"")</f>
        <v/>
      </c>
      <c r="AE295" s="21" t="str" cm="1">
        <f t="array" ref="AE295">IFERROR(INDEX(商品管理!F:F,MATCH(B295,商品管理!A:A,0)),"")</f>
        <v/>
      </c>
      <c r="AF295" s="21" t="str" cm="1">
        <f t="array" ref="AF295">IFERROR(INDEX(FBA仓库代码表!G:G,MATCH(E295,FBA仓库代码表!B:B,0)),"")</f>
        <v/>
      </c>
      <c r="AG295" s="21" t="str" cm="1">
        <f t="array" ref="AG295">IFERROR(INDEX(FBA仓库代码表!H:H,MATCH(E295,FBA仓库代码表!B:B,0)),"")</f>
        <v/>
      </c>
    </row>
    <row r="296" spans="30:33">
      <c r="AD296" s="21" t="str" cm="1">
        <f t="array" ref="AD296">IFERROR(INDEX(商品管理!E:E,MATCH(B296,商品管理!A:A,0)),"")</f>
        <v/>
      </c>
      <c r="AE296" s="21" t="str" cm="1">
        <f t="array" ref="AE296">IFERROR(INDEX(商品管理!F:F,MATCH(B296,商品管理!A:A,0)),"")</f>
        <v/>
      </c>
      <c r="AF296" s="21" t="str" cm="1">
        <f t="array" ref="AF296">IFERROR(INDEX(FBA仓库代码表!G:G,MATCH(E296,FBA仓库代码表!B:B,0)),"")</f>
        <v/>
      </c>
      <c r="AG296" s="21" t="str" cm="1">
        <f t="array" ref="AG296">IFERROR(INDEX(FBA仓库代码表!H:H,MATCH(E296,FBA仓库代码表!B:B,0)),"")</f>
        <v/>
      </c>
    </row>
    <row r="297" spans="30:33">
      <c r="AD297" s="21" t="str" cm="1">
        <f t="array" ref="AD297">IFERROR(INDEX(商品管理!E:E,MATCH(B297,商品管理!A:A,0)),"")</f>
        <v/>
      </c>
      <c r="AE297" s="21" t="str" cm="1">
        <f t="array" ref="AE297">IFERROR(INDEX(商品管理!F:F,MATCH(B297,商品管理!A:A,0)),"")</f>
        <v/>
      </c>
      <c r="AF297" s="21" t="str" cm="1">
        <f t="array" ref="AF297">IFERROR(INDEX(FBA仓库代码表!G:G,MATCH(E297,FBA仓库代码表!B:B,0)),"")</f>
        <v/>
      </c>
      <c r="AG297" s="21" t="str" cm="1">
        <f t="array" ref="AG297">IFERROR(INDEX(FBA仓库代码表!H:H,MATCH(E297,FBA仓库代码表!B:B,0)),"")</f>
        <v/>
      </c>
    </row>
    <row r="298" spans="30:33">
      <c r="AD298" s="21" t="str" cm="1">
        <f t="array" ref="AD298">IFERROR(INDEX(商品管理!E:E,MATCH(B298,商品管理!A:A,0)),"")</f>
        <v/>
      </c>
      <c r="AE298" s="21" t="str" cm="1">
        <f t="array" ref="AE298">IFERROR(INDEX(商品管理!F:F,MATCH(B298,商品管理!A:A,0)),"")</f>
        <v/>
      </c>
      <c r="AF298" s="21" t="str" cm="1">
        <f t="array" ref="AF298">IFERROR(INDEX(FBA仓库代码表!G:G,MATCH(E298,FBA仓库代码表!B:B,0)),"")</f>
        <v/>
      </c>
      <c r="AG298" s="21" t="str" cm="1">
        <f t="array" ref="AG298">IFERROR(INDEX(FBA仓库代码表!H:H,MATCH(E298,FBA仓库代码表!B:B,0)),"")</f>
        <v/>
      </c>
    </row>
    <row r="299" spans="30:33">
      <c r="AD299" s="21" t="str" cm="1">
        <f t="array" ref="AD299">IFERROR(INDEX(商品管理!E:E,MATCH(B299,商品管理!A:A,0)),"")</f>
        <v/>
      </c>
      <c r="AE299" s="21" t="str" cm="1">
        <f t="array" ref="AE299">IFERROR(INDEX(商品管理!F:F,MATCH(B299,商品管理!A:A,0)),"")</f>
        <v/>
      </c>
      <c r="AF299" s="21" t="str" cm="1">
        <f t="array" ref="AF299">IFERROR(INDEX(FBA仓库代码表!G:G,MATCH(E299,FBA仓库代码表!B:B,0)),"")</f>
        <v/>
      </c>
      <c r="AG299" s="21" t="str" cm="1">
        <f t="array" ref="AG299">IFERROR(INDEX(FBA仓库代码表!H:H,MATCH(E299,FBA仓库代码表!B:B,0)),"")</f>
        <v/>
      </c>
    </row>
    <row r="300" spans="30:33">
      <c r="AD300" s="21" t="str" cm="1">
        <f t="array" ref="AD300">IFERROR(INDEX(商品管理!E:E,MATCH(B300,商品管理!A:A,0)),"")</f>
        <v/>
      </c>
      <c r="AE300" s="21" t="str" cm="1">
        <f t="array" ref="AE300">IFERROR(INDEX(商品管理!F:F,MATCH(B300,商品管理!A:A,0)),"")</f>
        <v/>
      </c>
      <c r="AF300" s="21" t="str" cm="1">
        <f t="array" ref="AF300">IFERROR(INDEX(FBA仓库代码表!G:G,MATCH(E300,FBA仓库代码表!B:B,0)),"")</f>
        <v/>
      </c>
      <c r="AG300" s="21" t="str" cm="1">
        <f t="array" ref="AG300">IFERROR(INDEX(FBA仓库代码表!H:H,MATCH(E300,FBA仓库代码表!B:B,0)),"")</f>
        <v/>
      </c>
    </row>
    <row r="301" spans="30:33">
      <c r="AD301" s="21" t="str" cm="1">
        <f t="array" ref="AD301">IFERROR(INDEX(商品管理!E:E,MATCH(B301,商品管理!A:A,0)),"")</f>
        <v/>
      </c>
      <c r="AE301" s="21" t="str" cm="1">
        <f t="array" ref="AE301">IFERROR(INDEX(商品管理!F:F,MATCH(B301,商品管理!A:A,0)),"")</f>
        <v/>
      </c>
      <c r="AF301" s="21" t="str" cm="1">
        <f t="array" ref="AF301">IFERROR(INDEX(FBA仓库代码表!G:G,MATCH(E301,FBA仓库代码表!B:B,0)),"")</f>
        <v/>
      </c>
      <c r="AG301" s="21" t="str" cm="1">
        <f t="array" ref="AG301">IFERROR(INDEX(FBA仓库代码表!H:H,MATCH(E301,FBA仓库代码表!B:B,0)),"")</f>
        <v/>
      </c>
    </row>
    <row r="302" spans="30:33">
      <c r="AD302" s="21" t="str" cm="1">
        <f t="array" ref="AD302">IFERROR(INDEX(商品管理!E:E,MATCH(B302,商品管理!A:A,0)),"")</f>
        <v/>
      </c>
      <c r="AF302" s="21" t="str" cm="1">
        <f t="array" ref="AF302">IFERROR(INDEX(FBA仓库代码表!G:G,MATCH(E302,FBA仓库代码表!B:B,0)),"")</f>
        <v/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5"/>
  <sheetViews>
    <sheetView zoomScale="115" zoomScaleNormal="115" topLeftCell="I25" workbookViewId="0">
      <selection activeCell="U2" sqref="U2"/>
    </sheetView>
  </sheetViews>
  <sheetFormatPr defaultColWidth="9" defaultRowHeight="16.8"/>
  <cols>
    <col min="1" max="1" width="24.1964285714286" style="9" customWidth="1"/>
    <col min="2" max="2" width="12.0267857142857" style="9" customWidth="1"/>
    <col min="3" max="3" width="14.5714285714286" style="9" customWidth="1"/>
    <col min="4" max="4" width="45.0178571428571" style="9" customWidth="1"/>
    <col min="5" max="5" width="11.6517857142857" style="9" customWidth="1"/>
    <col min="6" max="6" width="10.5089285714286" style="9" customWidth="1"/>
    <col min="7" max="7" width="10.3125" style="9" customWidth="1"/>
    <col min="8" max="8" width="17.7232142857143" style="10" customWidth="1"/>
    <col min="9" max="9" width="12.7142857142857" style="10" customWidth="1"/>
    <col min="10" max="10" width="8.91964285714286" style="10" customWidth="1"/>
    <col min="11" max="11" width="9" style="10"/>
    <col min="12" max="12" width="11.5267857142857" style="10" customWidth="1"/>
    <col min="13" max="13" width="9.79464285714286" style="10" customWidth="1"/>
    <col min="14" max="14" width="9.04464285714286" style="10" customWidth="1"/>
    <col min="15" max="17" width="9" style="10"/>
    <col min="18" max="19" width="9" style="9"/>
    <col min="20" max="21" width="11.7142857142857" style="9" customWidth="1"/>
    <col min="22" max="16384" width="9" style="9"/>
  </cols>
  <sheetData>
    <row r="1" s="9" customFormat="1" ht="17" spans="1:21">
      <c r="A1" s="11" t="s">
        <v>32</v>
      </c>
      <c r="B1" s="11" t="s">
        <v>33</v>
      </c>
      <c r="C1" s="11" t="s">
        <v>34</v>
      </c>
      <c r="D1" s="11" t="s">
        <v>35</v>
      </c>
      <c r="E1" s="11" t="s">
        <v>36</v>
      </c>
      <c r="F1" s="12" t="s">
        <v>37</v>
      </c>
      <c r="G1" s="13" t="s">
        <v>38</v>
      </c>
      <c r="H1" s="11" t="s">
        <v>39</v>
      </c>
      <c r="I1" s="11" t="s">
        <v>40</v>
      </c>
      <c r="J1" s="10" t="s">
        <v>5</v>
      </c>
      <c r="K1" s="10" t="s">
        <v>7</v>
      </c>
      <c r="L1" s="10" t="s">
        <v>9</v>
      </c>
      <c r="M1" s="10" t="s">
        <v>41</v>
      </c>
      <c r="N1" s="10" t="s">
        <v>42</v>
      </c>
      <c r="O1" s="10" t="s">
        <v>43</v>
      </c>
      <c r="P1" s="10" t="s">
        <v>13</v>
      </c>
      <c r="Q1" s="10" t="s">
        <v>15</v>
      </c>
      <c r="R1" s="9" t="s">
        <v>16</v>
      </c>
      <c r="S1" s="9" t="s">
        <v>17</v>
      </c>
      <c r="T1" s="9" t="s">
        <v>24</v>
      </c>
      <c r="U1" s="9" t="s">
        <v>44</v>
      </c>
    </row>
    <row r="2" spans="1:21">
      <c r="A2" s="14" t="s">
        <v>45</v>
      </c>
      <c r="B2" s="10" t="s">
        <v>46</v>
      </c>
      <c r="C2" s="10">
        <v>4202920000</v>
      </c>
      <c r="D2" s="15" t="s">
        <v>47</v>
      </c>
      <c r="E2" s="29" t="s">
        <v>48</v>
      </c>
      <c r="F2" s="29" t="s">
        <v>49</v>
      </c>
      <c r="G2" s="29" t="s">
        <v>48</v>
      </c>
      <c r="H2" s="14" t="s">
        <v>45</v>
      </c>
      <c r="I2" s="10">
        <v>2</v>
      </c>
      <c r="J2" s="10" t="s">
        <v>50</v>
      </c>
      <c r="K2" s="10" t="s">
        <v>50</v>
      </c>
      <c r="L2" s="16" t="s">
        <v>50</v>
      </c>
      <c r="M2" s="10" t="e">
        <f t="shared" ref="M2:M65" si="0">J2*K2</f>
        <v>#VALUE!</v>
      </c>
      <c r="N2" s="10" t="e">
        <f t="shared" ref="N2:N65" si="1">M2+J2*L2+1.5</f>
        <v>#VALUE!</v>
      </c>
      <c r="P2" s="16" t="s">
        <v>50</v>
      </c>
      <c r="Q2" s="17" t="s">
        <v>50</v>
      </c>
      <c r="R2" s="9" t="s">
        <v>50</v>
      </c>
      <c r="S2" s="9" t="s">
        <v>50</v>
      </c>
    </row>
    <row r="3" spans="1:21">
      <c r="A3" s="14" t="s">
        <v>51</v>
      </c>
      <c r="B3" s="10" t="s">
        <v>46</v>
      </c>
      <c r="C3" s="10">
        <v>4202920000</v>
      </c>
      <c r="D3" s="15" t="s">
        <v>52</v>
      </c>
      <c r="E3" s="29" t="s">
        <v>48</v>
      </c>
      <c r="F3" s="29" t="s">
        <v>49</v>
      </c>
      <c r="G3" s="29" t="s">
        <v>48</v>
      </c>
      <c r="H3" s="14" t="s">
        <v>51</v>
      </c>
      <c r="I3" s="18">
        <v>1</v>
      </c>
      <c r="J3" s="10">
        <v>42</v>
      </c>
      <c r="K3" s="10">
        <v>0.24</v>
      </c>
      <c r="L3" s="16">
        <v>0.1</v>
      </c>
      <c r="M3" s="10">
        <f t="shared" si="0"/>
        <v>10.08</v>
      </c>
      <c r="N3" s="10">
        <f t="shared" si="1"/>
        <v>15.78</v>
      </c>
      <c r="P3" s="16">
        <v>16</v>
      </c>
      <c r="Q3" s="17">
        <v>53</v>
      </c>
      <c r="R3" s="9">
        <v>47</v>
      </c>
      <c r="S3" s="9">
        <v>51</v>
      </c>
    </row>
    <row r="4" spans="1:21">
      <c r="A4" s="14" t="s">
        <v>53</v>
      </c>
      <c r="B4" s="10" t="s">
        <v>46</v>
      </c>
      <c r="C4" s="10">
        <v>4202920000</v>
      </c>
      <c r="D4" s="15" t="s">
        <v>54</v>
      </c>
      <c r="E4" s="29" t="s">
        <v>48</v>
      </c>
      <c r="F4" s="29" t="s">
        <v>49</v>
      </c>
      <c r="G4" s="29" t="s">
        <v>48</v>
      </c>
      <c r="H4" s="14" t="s">
        <v>53</v>
      </c>
      <c r="I4" s="10">
        <v>1</v>
      </c>
      <c r="J4" s="10">
        <v>24</v>
      </c>
      <c r="K4" s="10">
        <v>0.33</v>
      </c>
      <c r="L4" s="16">
        <v>0.1</v>
      </c>
      <c r="M4" s="10">
        <f t="shared" si="0"/>
        <v>7.92</v>
      </c>
      <c r="N4" s="10">
        <f t="shared" si="1"/>
        <v>11.82</v>
      </c>
      <c r="P4" s="16">
        <v>26</v>
      </c>
      <c r="Q4" s="17">
        <v>53</v>
      </c>
      <c r="R4" s="9">
        <v>40</v>
      </c>
      <c r="S4" s="9">
        <v>56</v>
      </c>
    </row>
    <row r="5" spans="1:21">
      <c r="A5" s="14" t="s">
        <v>55</v>
      </c>
      <c r="B5" s="10" t="s">
        <v>46</v>
      </c>
      <c r="C5" s="10">
        <v>4202920000</v>
      </c>
      <c r="D5" s="15" t="s">
        <v>56</v>
      </c>
      <c r="E5" s="29" t="s">
        <v>48</v>
      </c>
      <c r="F5" s="29" t="s">
        <v>49</v>
      </c>
      <c r="G5" s="29" t="s">
        <v>48</v>
      </c>
      <c r="H5" s="14" t="s">
        <v>55</v>
      </c>
      <c r="I5" s="18">
        <v>1</v>
      </c>
      <c r="J5" s="10" t="s">
        <v>50</v>
      </c>
      <c r="K5" s="10" t="s">
        <v>50</v>
      </c>
      <c r="L5" s="16" t="s">
        <v>50</v>
      </c>
      <c r="M5" s="10" t="e">
        <f t="shared" si="0"/>
        <v>#VALUE!</v>
      </c>
      <c r="N5" s="10" t="e">
        <f t="shared" si="1"/>
        <v>#VALUE!</v>
      </c>
      <c r="P5" s="16" t="s">
        <v>50</v>
      </c>
      <c r="Q5" s="17" t="s">
        <v>50</v>
      </c>
      <c r="R5" s="9" t="s">
        <v>50</v>
      </c>
      <c r="S5" s="9" t="s">
        <v>50</v>
      </c>
    </row>
    <row r="6" spans="1:21">
      <c r="A6" s="14" t="s">
        <v>57</v>
      </c>
      <c r="B6" s="10" t="s">
        <v>46</v>
      </c>
      <c r="C6" s="10">
        <v>4202920000</v>
      </c>
      <c r="D6" s="15" t="s">
        <v>58</v>
      </c>
      <c r="E6" s="29" t="s">
        <v>48</v>
      </c>
      <c r="F6" s="29" t="s">
        <v>49</v>
      </c>
      <c r="G6" s="29" t="s">
        <v>48</v>
      </c>
      <c r="H6" s="14" t="s">
        <v>57</v>
      </c>
      <c r="I6" s="10">
        <v>1</v>
      </c>
      <c r="J6" s="10">
        <v>84</v>
      </c>
      <c r="K6" s="10">
        <v>0.14</v>
      </c>
      <c r="L6" s="16">
        <v>0.6</v>
      </c>
      <c r="M6" s="10">
        <f t="shared" si="0"/>
        <v>11.76</v>
      </c>
      <c r="N6" s="10">
        <f t="shared" si="1"/>
        <v>63.66</v>
      </c>
      <c r="P6" s="16">
        <v>18</v>
      </c>
      <c r="Q6" s="17">
        <v>53</v>
      </c>
      <c r="R6" s="9">
        <v>47</v>
      </c>
      <c r="S6" s="9">
        <v>51</v>
      </c>
    </row>
    <row r="7" spans="1:21">
      <c r="A7" s="14" t="s">
        <v>59</v>
      </c>
      <c r="B7" s="10" t="s">
        <v>46</v>
      </c>
      <c r="C7" s="10">
        <v>4202920000</v>
      </c>
      <c r="D7" s="15" t="s">
        <v>60</v>
      </c>
      <c r="E7" s="29" t="s">
        <v>61</v>
      </c>
      <c r="F7" s="29" t="s">
        <v>49</v>
      </c>
      <c r="G7" s="29" t="s">
        <v>48</v>
      </c>
      <c r="H7" s="14" t="s">
        <v>59</v>
      </c>
      <c r="I7" s="18">
        <v>2</v>
      </c>
      <c r="J7" s="10">
        <v>24</v>
      </c>
      <c r="K7" s="10">
        <v>0.57</v>
      </c>
      <c r="L7" s="16">
        <v>0.1</v>
      </c>
      <c r="M7" s="10">
        <f t="shared" si="0"/>
        <v>13.68</v>
      </c>
      <c r="N7" s="10">
        <f t="shared" si="1"/>
        <v>17.58</v>
      </c>
      <c r="P7" s="16">
        <v>34</v>
      </c>
      <c r="Q7" s="17">
        <v>53</v>
      </c>
      <c r="R7" s="9">
        <v>40</v>
      </c>
      <c r="S7" s="9">
        <v>56</v>
      </c>
    </row>
    <row r="8" spans="1:21">
      <c r="A8" s="14" t="s">
        <v>62</v>
      </c>
      <c r="B8" s="10" t="s">
        <v>46</v>
      </c>
      <c r="C8" s="10">
        <v>4202920000</v>
      </c>
      <c r="D8" s="15" t="s">
        <v>63</v>
      </c>
      <c r="E8" s="29" t="s">
        <v>48</v>
      </c>
      <c r="F8" s="29" t="s">
        <v>49</v>
      </c>
      <c r="G8" s="29" t="s">
        <v>48</v>
      </c>
      <c r="H8" s="14" t="s">
        <v>62</v>
      </c>
      <c r="I8" s="10">
        <v>1</v>
      </c>
      <c r="J8" s="10">
        <v>20</v>
      </c>
      <c r="K8" s="10">
        <v>0.45</v>
      </c>
      <c r="L8" s="16">
        <v>0.18</v>
      </c>
      <c r="M8" s="10">
        <f t="shared" si="0"/>
        <v>9</v>
      </c>
      <c r="N8" s="10">
        <f t="shared" si="1"/>
        <v>14.1</v>
      </c>
      <c r="P8" s="16">
        <v>32.5</v>
      </c>
      <c r="Q8" s="17">
        <v>55.5</v>
      </c>
      <c r="R8" s="9">
        <v>43</v>
      </c>
      <c r="S8" s="9">
        <v>56.5</v>
      </c>
    </row>
    <row r="9" spans="1:21">
      <c r="A9" s="14" t="s">
        <v>64</v>
      </c>
      <c r="B9" s="10" t="s">
        <v>46</v>
      </c>
      <c r="C9" s="10">
        <v>4202920000</v>
      </c>
      <c r="D9" s="15" t="s">
        <v>65</v>
      </c>
      <c r="E9" s="29" t="s">
        <v>48</v>
      </c>
      <c r="F9" s="29" t="s">
        <v>49</v>
      </c>
      <c r="G9" s="29" t="s">
        <v>48</v>
      </c>
      <c r="H9" s="14" t="s">
        <v>64</v>
      </c>
      <c r="I9" s="18">
        <v>1</v>
      </c>
      <c r="J9" s="10" t="s">
        <v>50</v>
      </c>
      <c r="K9" s="10" t="s">
        <v>50</v>
      </c>
      <c r="L9" s="16" t="s">
        <v>50</v>
      </c>
      <c r="M9" s="10" t="e">
        <f t="shared" si="0"/>
        <v>#VALUE!</v>
      </c>
      <c r="N9" s="10" t="e">
        <f t="shared" si="1"/>
        <v>#VALUE!</v>
      </c>
      <c r="P9" s="16" t="s">
        <v>50</v>
      </c>
      <c r="Q9" s="17" t="s">
        <v>50</v>
      </c>
      <c r="R9" s="9" t="s">
        <v>50</v>
      </c>
      <c r="S9" s="9" t="s">
        <v>50</v>
      </c>
    </row>
    <row r="10" spans="1:21">
      <c r="A10" s="14" t="s">
        <v>66</v>
      </c>
      <c r="B10" s="10" t="s">
        <v>46</v>
      </c>
      <c r="C10" s="10">
        <v>4202920000</v>
      </c>
      <c r="D10" s="15" t="s">
        <v>67</v>
      </c>
      <c r="E10" s="29" t="s">
        <v>48</v>
      </c>
      <c r="F10" s="29" t="s">
        <v>49</v>
      </c>
      <c r="G10" s="29" t="s">
        <v>48</v>
      </c>
      <c r="H10" s="14" t="s">
        <v>66</v>
      </c>
      <c r="I10" s="10">
        <v>1</v>
      </c>
      <c r="J10" s="10" t="s">
        <v>50</v>
      </c>
      <c r="K10" s="10" t="s">
        <v>50</v>
      </c>
      <c r="L10" s="16" t="s">
        <v>50</v>
      </c>
      <c r="M10" s="10" t="e">
        <f t="shared" si="0"/>
        <v>#VALUE!</v>
      </c>
      <c r="N10" s="10" t="e">
        <f t="shared" si="1"/>
        <v>#VALUE!</v>
      </c>
      <c r="P10" s="16" t="s">
        <v>50</v>
      </c>
      <c r="Q10" s="17" t="s">
        <v>50</v>
      </c>
      <c r="R10" s="9" t="s">
        <v>50</v>
      </c>
      <c r="S10" s="9" t="s">
        <v>50</v>
      </c>
    </row>
    <row r="11" spans="1:21">
      <c r="A11" s="14" t="s">
        <v>68</v>
      </c>
      <c r="B11" s="10" t="s">
        <v>46</v>
      </c>
      <c r="C11" s="10">
        <v>4202920000</v>
      </c>
      <c r="D11" s="15" t="s">
        <v>69</v>
      </c>
      <c r="E11" s="29" t="s">
        <v>48</v>
      </c>
      <c r="F11" s="29" t="s">
        <v>49</v>
      </c>
      <c r="G11" s="29" t="s">
        <v>48</v>
      </c>
      <c r="H11" s="14" t="s">
        <v>68</v>
      </c>
      <c r="I11" s="18">
        <v>1</v>
      </c>
      <c r="J11" s="10" t="s">
        <v>50</v>
      </c>
      <c r="K11" s="10" t="s">
        <v>50</v>
      </c>
      <c r="L11" s="16" t="s">
        <v>50</v>
      </c>
      <c r="M11" s="10" t="e">
        <f t="shared" si="0"/>
        <v>#VALUE!</v>
      </c>
      <c r="N11" s="10" t="e">
        <f t="shared" si="1"/>
        <v>#VALUE!</v>
      </c>
      <c r="P11" s="16" t="s">
        <v>50</v>
      </c>
      <c r="Q11" s="17" t="s">
        <v>50</v>
      </c>
      <c r="R11" s="9" t="s">
        <v>50</v>
      </c>
      <c r="S11" s="9" t="s">
        <v>50</v>
      </c>
    </row>
    <row r="12" spans="1:21">
      <c r="A12" s="14" t="s">
        <v>70</v>
      </c>
      <c r="B12" s="10" t="s">
        <v>46</v>
      </c>
      <c r="C12" s="10">
        <v>4202920000</v>
      </c>
      <c r="D12" s="15" t="s">
        <v>71</v>
      </c>
      <c r="E12" s="29" t="s">
        <v>48</v>
      </c>
      <c r="F12" s="29" t="s">
        <v>49</v>
      </c>
      <c r="G12" s="29" t="s">
        <v>48</v>
      </c>
      <c r="H12" s="14" t="s">
        <v>70</v>
      </c>
      <c r="I12" s="10">
        <v>1</v>
      </c>
      <c r="J12" s="10">
        <v>24</v>
      </c>
      <c r="K12" s="10">
        <v>0.39</v>
      </c>
      <c r="L12" s="16">
        <v>0.18</v>
      </c>
      <c r="M12" s="10">
        <f t="shared" si="0"/>
        <v>9.36</v>
      </c>
      <c r="N12" s="10">
        <f t="shared" si="1"/>
        <v>15.18</v>
      </c>
      <c r="P12" s="16">
        <v>31.5</v>
      </c>
      <c r="Q12" s="17">
        <v>51</v>
      </c>
      <c r="R12" s="9">
        <v>57.5</v>
      </c>
      <c r="S12" s="9">
        <v>44</v>
      </c>
    </row>
    <row r="13" spans="1:21">
      <c r="A13" s="14" t="s">
        <v>72</v>
      </c>
      <c r="B13" s="10" t="s">
        <v>46</v>
      </c>
      <c r="C13" s="10">
        <v>4202920000</v>
      </c>
      <c r="D13" s="15" t="s">
        <v>73</v>
      </c>
      <c r="E13" s="29" t="s">
        <v>48</v>
      </c>
      <c r="F13" s="29" t="s">
        <v>49</v>
      </c>
      <c r="G13" s="29" t="s">
        <v>48</v>
      </c>
      <c r="H13" s="14" t="s">
        <v>72</v>
      </c>
      <c r="I13" s="18">
        <v>1</v>
      </c>
      <c r="J13" s="10" t="s">
        <v>50</v>
      </c>
      <c r="K13" s="10" t="s">
        <v>50</v>
      </c>
      <c r="L13" s="16" t="s">
        <v>50</v>
      </c>
      <c r="M13" s="10" t="e">
        <f t="shared" si="0"/>
        <v>#VALUE!</v>
      </c>
      <c r="N13" s="10" t="e">
        <f t="shared" si="1"/>
        <v>#VALUE!</v>
      </c>
      <c r="P13" s="16" t="s">
        <v>50</v>
      </c>
      <c r="Q13" s="17" t="s">
        <v>50</v>
      </c>
      <c r="R13" s="9" t="s">
        <v>50</v>
      </c>
      <c r="S13" s="9" t="s">
        <v>50</v>
      </c>
    </row>
    <row r="14" spans="1:21">
      <c r="A14" s="14" t="s">
        <v>74</v>
      </c>
      <c r="B14" s="10" t="s">
        <v>46</v>
      </c>
      <c r="C14" s="10">
        <v>4202920000</v>
      </c>
      <c r="D14" s="15" t="s">
        <v>75</v>
      </c>
      <c r="E14" s="29" t="s">
        <v>48</v>
      </c>
      <c r="F14" s="29" t="s">
        <v>49</v>
      </c>
      <c r="G14" s="29" t="s">
        <v>48</v>
      </c>
      <c r="H14" s="14" t="s">
        <v>74</v>
      </c>
      <c r="I14" s="10">
        <v>1</v>
      </c>
      <c r="J14" s="10" t="s">
        <v>50</v>
      </c>
      <c r="K14" s="10" t="s">
        <v>50</v>
      </c>
      <c r="L14" s="16" t="s">
        <v>50</v>
      </c>
      <c r="M14" s="10" t="e">
        <f t="shared" si="0"/>
        <v>#VALUE!</v>
      </c>
      <c r="N14" s="10" t="e">
        <f t="shared" si="1"/>
        <v>#VALUE!</v>
      </c>
      <c r="P14" s="16" t="s">
        <v>50</v>
      </c>
      <c r="Q14" s="17" t="s">
        <v>50</v>
      </c>
      <c r="R14" s="9" t="s">
        <v>50</v>
      </c>
      <c r="S14" s="9" t="s">
        <v>50</v>
      </c>
    </row>
    <row r="15" spans="1:21">
      <c r="A15" s="14" t="s">
        <v>76</v>
      </c>
      <c r="B15" s="10" t="s">
        <v>46</v>
      </c>
      <c r="C15" s="10">
        <v>4202920000</v>
      </c>
      <c r="D15" s="15" t="s">
        <v>77</v>
      </c>
      <c r="E15" s="29" t="s">
        <v>61</v>
      </c>
      <c r="F15" s="29" t="s">
        <v>49</v>
      </c>
      <c r="G15" s="29" t="s">
        <v>48</v>
      </c>
      <c r="H15" s="14" t="s">
        <v>76</v>
      </c>
      <c r="I15" s="18">
        <v>2</v>
      </c>
      <c r="J15" s="10">
        <v>24</v>
      </c>
      <c r="K15" s="10">
        <v>0.57</v>
      </c>
      <c r="L15" s="16">
        <v>0.1</v>
      </c>
      <c r="M15" s="10">
        <f t="shared" si="0"/>
        <v>13.68</v>
      </c>
      <c r="N15" s="10">
        <f t="shared" si="1"/>
        <v>17.58</v>
      </c>
      <c r="P15" s="16">
        <v>36</v>
      </c>
      <c r="Q15" s="17">
        <v>53</v>
      </c>
      <c r="R15" s="9">
        <v>40</v>
      </c>
      <c r="S15" s="9">
        <v>56</v>
      </c>
    </row>
    <row r="16" spans="1:21">
      <c r="A16" s="14" t="s">
        <v>78</v>
      </c>
      <c r="B16" s="10" t="s">
        <v>46</v>
      </c>
      <c r="C16" s="10">
        <v>4202920000</v>
      </c>
      <c r="D16" s="15" t="s">
        <v>79</v>
      </c>
      <c r="E16" s="29" t="s">
        <v>48</v>
      </c>
      <c r="F16" s="29" t="s">
        <v>49</v>
      </c>
      <c r="G16" s="29" t="s">
        <v>48</v>
      </c>
      <c r="H16" s="14" t="s">
        <v>78</v>
      </c>
      <c r="I16" s="10">
        <v>1</v>
      </c>
      <c r="J16" s="10" t="s">
        <v>50</v>
      </c>
      <c r="K16" s="10" t="s">
        <v>50</v>
      </c>
      <c r="L16" s="16" t="s">
        <v>50</v>
      </c>
      <c r="M16" s="10" t="e">
        <f t="shared" si="0"/>
        <v>#VALUE!</v>
      </c>
      <c r="N16" s="10" t="e">
        <f t="shared" si="1"/>
        <v>#VALUE!</v>
      </c>
      <c r="P16" s="16" t="s">
        <v>50</v>
      </c>
      <c r="Q16" s="17" t="s">
        <v>50</v>
      </c>
      <c r="R16" s="9" t="s">
        <v>50</v>
      </c>
      <c r="S16" s="9" t="s">
        <v>50</v>
      </c>
    </row>
    <row r="17" spans="1:19">
      <c r="A17" s="14" t="s">
        <v>80</v>
      </c>
      <c r="B17" s="10" t="s">
        <v>46</v>
      </c>
      <c r="C17" s="10">
        <v>4202920000</v>
      </c>
      <c r="D17" s="15" t="s">
        <v>81</v>
      </c>
      <c r="E17" s="29" t="s">
        <v>48</v>
      </c>
      <c r="F17" s="29" t="s">
        <v>49</v>
      </c>
      <c r="G17" s="29" t="s">
        <v>48</v>
      </c>
      <c r="H17" s="14" t="s">
        <v>80</v>
      </c>
      <c r="I17" s="18">
        <v>1</v>
      </c>
      <c r="J17" s="10" t="s">
        <v>50</v>
      </c>
      <c r="K17" s="10" t="s">
        <v>50</v>
      </c>
      <c r="L17" s="16" t="s">
        <v>50</v>
      </c>
      <c r="M17" s="10" t="e">
        <f t="shared" si="0"/>
        <v>#VALUE!</v>
      </c>
      <c r="N17" s="10" t="e">
        <f t="shared" si="1"/>
        <v>#VALUE!</v>
      </c>
      <c r="P17" s="16" t="s">
        <v>50</v>
      </c>
      <c r="Q17" s="17" t="s">
        <v>50</v>
      </c>
      <c r="R17" s="9" t="s">
        <v>50</v>
      </c>
      <c r="S17" s="9" t="s">
        <v>50</v>
      </c>
    </row>
    <row r="18" spans="1:19">
      <c r="A18" s="14" t="s">
        <v>82</v>
      </c>
      <c r="B18" s="10" t="s">
        <v>46</v>
      </c>
      <c r="C18" s="10">
        <v>4202920000</v>
      </c>
      <c r="D18" s="15" t="s">
        <v>83</v>
      </c>
      <c r="E18" s="29" t="s">
        <v>48</v>
      </c>
      <c r="F18" s="29" t="s">
        <v>49</v>
      </c>
      <c r="G18" s="29" t="s">
        <v>48</v>
      </c>
      <c r="H18" s="14" t="s">
        <v>82</v>
      </c>
      <c r="I18" s="10">
        <v>1</v>
      </c>
      <c r="J18" s="10">
        <v>42</v>
      </c>
      <c r="K18" s="10">
        <v>0.24</v>
      </c>
      <c r="L18" s="16">
        <v>0</v>
      </c>
      <c r="M18" s="10">
        <f t="shared" si="0"/>
        <v>10.08</v>
      </c>
      <c r="N18" s="10">
        <f t="shared" si="1"/>
        <v>11.58</v>
      </c>
      <c r="P18" s="16">
        <v>19</v>
      </c>
      <c r="Q18" s="17">
        <v>53</v>
      </c>
      <c r="R18" s="9">
        <v>47</v>
      </c>
      <c r="S18" s="9">
        <v>51</v>
      </c>
    </row>
    <row r="19" spans="1:19">
      <c r="A19" s="14" t="s">
        <v>84</v>
      </c>
      <c r="B19" s="10" t="s">
        <v>46</v>
      </c>
      <c r="C19" s="10">
        <v>4202920000</v>
      </c>
      <c r="D19" s="15" t="s">
        <v>85</v>
      </c>
      <c r="E19" s="29" t="s">
        <v>48</v>
      </c>
      <c r="F19" s="29" t="s">
        <v>49</v>
      </c>
      <c r="G19" s="29" t="s">
        <v>48</v>
      </c>
      <c r="H19" s="14" t="s">
        <v>84</v>
      </c>
      <c r="I19" s="18">
        <v>1</v>
      </c>
      <c r="J19" s="10" t="s">
        <v>50</v>
      </c>
      <c r="K19" s="10" t="s">
        <v>50</v>
      </c>
      <c r="L19" s="16" t="s">
        <v>50</v>
      </c>
      <c r="M19" s="10" t="e">
        <f t="shared" si="0"/>
        <v>#VALUE!</v>
      </c>
      <c r="N19" s="10" t="e">
        <f t="shared" si="1"/>
        <v>#VALUE!</v>
      </c>
      <c r="P19" s="16" t="s">
        <v>50</v>
      </c>
      <c r="Q19" s="17" t="s">
        <v>50</v>
      </c>
      <c r="R19" s="9" t="s">
        <v>50</v>
      </c>
      <c r="S19" s="9" t="s">
        <v>50</v>
      </c>
    </row>
    <row r="20" spans="1:19">
      <c r="A20" s="14" t="s">
        <v>86</v>
      </c>
      <c r="B20" s="10" t="s">
        <v>46</v>
      </c>
      <c r="C20" s="10">
        <v>4202920000</v>
      </c>
      <c r="D20" s="15" t="s">
        <v>87</v>
      </c>
      <c r="E20" s="29" t="s">
        <v>48</v>
      </c>
      <c r="F20" s="29" t="s">
        <v>49</v>
      </c>
      <c r="G20" s="29" t="s">
        <v>48</v>
      </c>
      <c r="H20" s="14" t="s">
        <v>86</v>
      </c>
      <c r="I20" s="10">
        <v>1</v>
      </c>
      <c r="J20" s="10" t="s">
        <v>50</v>
      </c>
      <c r="K20" s="10" t="s">
        <v>50</v>
      </c>
      <c r="L20" s="16" t="s">
        <v>50</v>
      </c>
      <c r="M20" s="10" t="e">
        <f t="shared" si="0"/>
        <v>#VALUE!</v>
      </c>
      <c r="N20" s="10" t="e">
        <f t="shared" si="1"/>
        <v>#VALUE!</v>
      </c>
      <c r="P20" s="16" t="s">
        <v>50</v>
      </c>
      <c r="Q20" s="17" t="s">
        <v>50</v>
      </c>
      <c r="R20" s="9" t="s">
        <v>50</v>
      </c>
      <c r="S20" s="9" t="s">
        <v>50</v>
      </c>
    </row>
    <row r="21" spans="1:19">
      <c r="A21" s="14" t="s">
        <v>88</v>
      </c>
      <c r="B21" s="10" t="s">
        <v>46</v>
      </c>
      <c r="C21" s="10">
        <v>4202920000</v>
      </c>
      <c r="D21" s="15" t="s">
        <v>89</v>
      </c>
      <c r="E21" s="29" t="s">
        <v>48</v>
      </c>
      <c r="F21" s="29" t="s">
        <v>49</v>
      </c>
      <c r="G21" s="29" t="s">
        <v>48</v>
      </c>
      <c r="H21" s="14" t="s">
        <v>88</v>
      </c>
      <c r="I21" s="18">
        <v>1</v>
      </c>
      <c r="J21" s="10">
        <v>20</v>
      </c>
      <c r="K21" s="10">
        <v>0.45</v>
      </c>
      <c r="L21" s="16">
        <v>0.18</v>
      </c>
      <c r="M21" s="10">
        <f t="shared" si="0"/>
        <v>9</v>
      </c>
      <c r="N21" s="10">
        <f t="shared" si="1"/>
        <v>14.1</v>
      </c>
      <c r="P21" s="16">
        <v>32.5</v>
      </c>
      <c r="Q21" s="17">
        <v>55.5</v>
      </c>
      <c r="R21" s="9">
        <v>43</v>
      </c>
      <c r="S21" s="9">
        <v>56.5</v>
      </c>
    </row>
    <row r="22" spans="1:19">
      <c r="A22" s="14" t="s">
        <v>90</v>
      </c>
      <c r="B22" s="10" t="s">
        <v>46</v>
      </c>
      <c r="C22" s="10">
        <v>4202920000</v>
      </c>
      <c r="D22" s="15" t="s">
        <v>91</v>
      </c>
      <c r="E22" s="29" t="s">
        <v>48</v>
      </c>
      <c r="F22" s="29" t="s">
        <v>49</v>
      </c>
      <c r="G22" s="29" t="s">
        <v>48</v>
      </c>
      <c r="H22" s="14" t="s">
        <v>90</v>
      </c>
      <c r="I22" s="10">
        <v>1</v>
      </c>
      <c r="J22" s="10">
        <v>84</v>
      </c>
      <c r="K22" s="10">
        <v>0.14</v>
      </c>
      <c r="L22" s="16">
        <v>0.6</v>
      </c>
      <c r="M22" s="10">
        <f t="shared" si="0"/>
        <v>11.76</v>
      </c>
      <c r="N22" s="10">
        <f t="shared" si="1"/>
        <v>63.66</v>
      </c>
      <c r="P22" s="16">
        <v>18</v>
      </c>
      <c r="Q22" s="17">
        <v>53</v>
      </c>
      <c r="R22" s="9">
        <v>47</v>
      </c>
      <c r="S22" s="9">
        <v>51</v>
      </c>
    </row>
    <row r="23" spans="1:19">
      <c r="A23" s="14" t="s">
        <v>92</v>
      </c>
      <c r="B23" s="10" t="s">
        <v>46</v>
      </c>
      <c r="C23" s="10">
        <v>4202920000</v>
      </c>
      <c r="D23" s="15" t="s">
        <v>93</v>
      </c>
      <c r="E23" s="29" t="s">
        <v>61</v>
      </c>
      <c r="F23" s="29" t="s">
        <v>49</v>
      </c>
      <c r="G23" s="29" t="s">
        <v>48</v>
      </c>
      <c r="H23" s="14" t="s">
        <v>92</v>
      </c>
      <c r="I23" s="18">
        <v>2</v>
      </c>
      <c r="J23" s="10" t="s">
        <v>50</v>
      </c>
      <c r="K23" s="10" t="s">
        <v>50</v>
      </c>
      <c r="L23" s="16" t="s">
        <v>50</v>
      </c>
      <c r="M23" s="10" t="e">
        <f t="shared" si="0"/>
        <v>#VALUE!</v>
      </c>
      <c r="N23" s="10" t="e">
        <f t="shared" si="1"/>
        <v>#VALUE!</v>
      </c>
      <c r="P23" s="16" t="s">
        <v>50</v>
      </c>
      <c r="Q23" s="17" t="s">
        <v>50</v>
      </c>
      <c r="R23" s="9" t="s">
        <v>50</v>
      </c>
      <c r="S23" s="9" t="s">
        <v>50</v>
      </c>
    </row>
    <row r="24" spans="1:19">
      <c r="A24" s="14" t="s">
        <v>94</v>
      </c>
      <c r="B24" s="10" t="s">
        <v>46</v>
      </c>
      <c r="C24" s="10">
        <v>4202920000</v>
      </c>
      <c r="D24" s="15" t="s">
        <v>95</v>
      </c>
      <c r="E24" s="29" t="s">
        <v>48</v>
      </c>
      <c r="F24" s="29" t="s">
        <v>49</v>
      </c>
      <c r="G24" s="29" t="s">
        <v>48</v>
      </c>
      <c r="H24" s="14" t="s">
        <v>94</v>
      </c>
      <c r="I24" s="10">
        <v>1</v>
      </c>
      <c r="J24" s="10" t="s">
        <v>50</v>
      </c>
      <c r="K24" s="10" t="s">
        <v>50</v>
      </c>
      <c r="L24" s="16" t="s">
        <v>50</v>
      </c>
      <c r="M24" s="10" t="e">
        <f t="shared" si="0"/>
        <v>#VALUE!</v>
      </c>
      <c r="N24" s="10" t="e">
        <f t="shared" si="1"/>
        <v>#VALUE!</v>
      </c>
      <c r="P24" s="16" t="s">
        <v>50</v>
      </c>
      <c r="Q24" s="17" t="s">
        <v>50</v>
      </c>
      <c r="R24" s="9" t="s">
        <v>50</v>
      </c>
      <c r="S24" s="9" t="s">
        <v>50</v>
      </c>
    </row>
    <row r="25" spans="1:19">
      <c r="A25" s="14" t="s">
        <v>96</v>
      </c>
      <c r="B25" s="10" t="s">
        <v>46</v>
      </c>
      <c r="C25" s="10">
        <v>4202920000</v>
      </c>
      <c r="D25" s="15" t="s">
        <v>97</v>
      </c>
      <c r="E25" s="29" t="s">
        <v>48</v>
      </c>
      <c r="F25" s="29" t="s">
        <v>49</v>
      </c>
      <c r="G25" s="29" t="s">
        <v>48</v>
      </c>
      <c r="H25" s="14" t="s">
        <v>96</v>
      </c>
      <c r="I25" s="18">
        <v>1</v>
      </c>
      <c r="J25" s="10" t="s">
        <v>50</v>
      </c>
      <c r="K25" s="10" t="s">
        <v>50</v>
      </c>
      <c r="L25" s="16" t="s">
        <v>50</v>
      </c>
      <c r="M25" s="10" t="e">
        <f t="shared" si="0"/>
        <v>#VALUE!</v>
      </c>
      <c r="N25" s="10" t="e">
        <f t="shared" si="1"/>
        <v>#VALUE!</v>
      </c>
      <c r="P25" s="16" t="s">
        <v>50</v>
      </c>
      <c r="Q25" s="17" t="s">
        <v>50</v>
      </c>
      <c r="R25" s="9" t="s">
        <v>50</v>
      </c>
      <c r="S25" s="9" t="s">
        <v>50</v>
      </c>
    </row>
    <row r="26" spans="1:19">
      <c r="A26" s="14" t="s">
        <v>98</v>
      </c>
      <c r="B26" s="10" t="s">
        <v>46</v>
      </c>
      <c r="C26" s="10">
        <v>4202920000</v>
      </c>
      <c r="D26" s="15" t="s">
        <v>99</v>
      </c>
      <c r="E26" s="29" t="s">
        <v>48</v>
      </c>
      <c r="F26" s="29" t="s">
        <v>49</v>
      </c>
      <c r="G26" s="29" t="s">
        <v>48</v>
      </c>
      <c r="H26" s="14" t="s">
        <v>98</v>
      </c>
      <c r="I26" s="10">
        <v>1</v>
      </c>
      <c r="J26" s="10" t="s">
        <v>50</v>
      </c>
      <c r="K26" s="10" t="s">
        <v>50</v>
      </c>
      <c r="L26" s="16" t="s">
        <v>50</v>
      </c>
      <c r="M26" s="10" t="e">
        <f t="shared" si="0"/>
        <v>#VALUE!</v>
      </c>
      <c r="N26" s="10" t="e">
        <f t="shared" si="1"/>
        <v>#VALUE!</v>
      </c>
      <c r="P26" s="16" t="s">
        <v>50</v>
      </c>
      <c r="Q26" s="17" t="s">
        <v>50</v>
      </c>
      <c r="R26" s="9" t="s">
        <v>50</v>
      </c>
      <c r="S26" s="9" t="s">
        <v>50</v>
      </c>
    </row>
    <row r="27" spans="1:19">
      <c r="A27" s="14" t="s">
        <v>100</v>
      </c>
      <c r="B27" s="10" t="s">
        <v>46</v>
      </c>
      <c r="C27" s="10">
        <v>4202920000</v>
      </c>
      <c r="D27" s="15" t="s">
        <v>101</v>
      </c>
      <c r="E27" s="29" t="s">
        <v>48</v>
      </c>
      <c r="F27" s="29" t="s">
        <v>49</v>
      </c>
      <c r="G27" s="29" t="s">
        <v>48</v>
      </c>
      <c r="H27" s="14" t="s">
        <v>100</v>
      </c>
      <c r="I27" s="18">
        <v>1</v>
      </c>
      <c r="J27" s="10" t="s">
        <v>50</v>
      </c>
      <c r="K27" s="10" t="s">
        <v>50</v>
      </c>
      <c r="L27" s="16" t="s">
        <v>50</v>
      </c>
      <c r="M27" s="10" t="e">
        <f t="shared" si="0"/>
        <v>#VALUE!</v>
      </c>
      <c r="N27" s="10" t="e">
        <f t="shared" si="1"/>
        <v>#VALUE!</v>
      </c>
      <c r="P27" s="16" t="s">
        <v>50</v>
      </c>
      <c r="Q27" s="17" t="s">
        <v>50</v>
      </c>
      <c r="R27" s="9" t="s">
        <v>50</v>
      </c>
      <c r="S27" s="9" t="s">
        <v>50</v>
      </c>
    </row>
    <row r="28" spans="1:19">
      <c r="A28" s="14" t="s">
        <v>102</v>
      </c>
      <c r="B28" s="10" t="s">
        <v>46</v>
      </c>
      <c r="C28" s="10">
        <v>4202920000</v>
      </c>
      <c r="D28" s="15" t="s">
        <v>103</v>
      </c>
      <c r="E28" s="29" t="s">
        <v>61</v>
      </c>
      <c r="F28" s="29" t="s">
        <v>49</v>
      </c>
      <c r="G28" s="29" t="s">
        <v>48</v>
      </c>
      <c r="H28" s="14" t="s">
        <v>102</v>
      </c>
      <c r="I28" s="18">
        <v>2</v>
      </c>
      <c r="J28" s="10">
        <v>24</v>
      </c>
      <c r="K28" s="10">
        <v>0.57</v>
      </c>
      <c r="L28" s="16">
        <v>0.1</v>
      </c>
      <c r="M28" s="10">
        <f t="shared" si="0"/>
        <v>13.68</v>
      </c>
      <c r="N28" s="10">
        <f t="shared" si="1"/>
        <v>17.58</v>
      </c>
      <c r="P28" s="16">
        <v>36</v>
      </c>
      <c r="Q28" s="17">
        <v>53</v>
      </c>
      <c r="R28" s="9">
        <v>40</v>
      </c>
      <c r="S28" s="9">
        <v>56</v>
      </c>
    </row>
    <row r="29" spans="1:19">
      <c r="A29" s="14" t="s">
        <v>104</v>
      </c>
      <c r="B29" s="10" t="s">
        <v>46</v>
      </c>
      <c r="C29" s="10">
        <v>4202920000</v>
      </c>
      <c r="D29" s="15" t="s">
        <v>105</v>
      </c>
      <c r="E29" s="29" t="s">
        <v>48</v>
      </c>
      <c r="F29" s="29" t="s">
        <v>49</v>
      </c>
      <c r="G29" s="29" t="s">
        <v>48</v>
      </c>
      <c r="H29" s="14" t="s">
        <v>104</v>
      </c>
      <c r="I29" s="18">
        <v>1</v>
      </c>
      <c r="J29" s="10" t="s">
        <v>50</v>
      </c>
      <c r="K29" s="10" t="s">
        <v>50</v>
      </c>
      <c r="L29" s="16" t="s">
        <v>50</v>
      </c>
      <c r="M29" s="10" t="e">
        <f t="shared" si="0"/>
        <v>#VALUE!</v>
      </c>
      <c r="N29" s="10" t="e">
        <f t="shared" si="1"/>
        <v>#VALUE!</v>
      </c>
      <c r="P29" s="16" t="s">
        <v>50</v>
      </c>
      <c r="Q29" s="17" t="s">
        <v>50</v>
      </c>
      <c r="R29" s="9" t="s">
        <v>50</v>
      </c>
      <c r="S29" s="9" t="s">
        <v>50</v>
      </c>
    </row>
    <row r="30" spans="1:19">
      <c r="A30" s="14" t="s">
        <v>106</v>
      </c>
      <c r="B30" s="10" t="s">
        <v>46</v>
      </c>
      <c r="C30" s="10">
        <v>4202920000</v>
      </c>
      <c r="D30" s="15" t="s">
        <v>107</v>
      </c>
      <c r="E30" s="29" t="s">
        <v>48</v>
      </c>
      <c r="F30" s="29" t="s">
        <v>49</v>
      </c>
      <c r="G30" s="29" t="s">
        <v>48</v>
      </c>
      <c r="H30" s="14" t="s">
        <v>106</v>
      </c>
      <c r="I30" s="10">
        <v>1</v>
      </c>
      <c r="J30" s="10" t="s">
        <v>50</v>
      </c>
      <c r="K30" s="10" t="s">
        <v>50</v>
      </c>
      <c r="L30" s="16" t="s">
        <v>50</v>
      </c>
      <c r="M30" s="10" t="e">
        <f t="shared" si="0"/>
        <v>#VALUE!</v>
      </c>
      <c r="N30" s="10" t="e">
        <f t="shared" si="1"/>
        <v>#VALUE!</v>
      </c>
      <c r="P30" s="16" t="s">
        <v>50</v>
      </c>
      <c r="Q30" s="17" t="s">
        <v>50</v>
      </c>
      <c r="R30" s="9" t="s">
        <v>50</v>
      </c>
      <c r="S30" s="9" t="s">
        <v>50</v>
      </c>
    </row>
    <row r="31" spans="1:19">
      <c r="A31" s="14" t="s">
        <v>108</v>
      </c>
      <c r="B31" s="10" t="s">
        <v>46</v>
      </c>
      <c r="C31" s="10">
        <v>4202920000</v>
      </c>
      <c r="D31" s="15" t="s">
        <v>109</v>
      </c>
      <c r="E31" s="29" t="s">
        <v>48</v>
      </c>
      <c r="F31" s="29" t="s">
        <v>49</v>
      </c>
      <c r="G31" s="29" t="s">
        <v>48</v>
      </c>
      <c r="H31" s="14" t="s">
        <v>108</v>
      </c>
      <c r="I31" s="18">
        <v>1</v>
      </c>
      <c r="J31" s="10" t="s">
        <v>50</v>
      </c>
      <c r="K31" s="10" t="s">
        <v>50</v>
      </c>
      <c r="L31" s="16" t="s">
        <v>50</v>
      </c>
      <c r="M31" s="10" t="e">
        <f t="shared" si="0"/>
        <v>#VALUE!</v>
      </c>
      <c r="N31" s="10" t="e">
        <f t="shared" si="1"/>
        <v>#VALUE!</v>
      </c>
      <c r="P31" s="16" t="s">
        <v>50</v>
      </c>
      <c r="Q31" s="17" t="s">
        <v>50</v>
      </c>
      <c r="R31" s="9" t="s">
        <v>50</v>
      </c>
      <c r="S31" s="9" t="s">
        <v>50</v>
      </c>
    </row>
    <row r="32" spans="1:19">
      <c r="A32" s="14" t="s">
        <v>110</v>
      </c>
      <c r="B32" s="10" t="s">
        <v>46</v>
      </c>
      <c r="C32" s="10">
        <v>4202920000</v>
      </c>
      <c r="D32" s="15" t="s">
        <v>111</v>
      </c>
      <c r="E32" s="29" t="s">
        <v>48</v>
      </c>
      <c r="F32" s="29" t="s">
        <v>49</v>
      </c>
      <c r="G32" s="29" t="s">
        <v>48</v>
      </c>
      <c r="H32" s="14" t="s">
        <v>110</v>
      </c>
      <c r="I32" s="10">
        <v>1</v>
      </c>
      <c r="J32" s="10">
        <v>20</v>
      </c>
      <c r="K32" s="10">
        <v>0.45</v>
      </c>
      <c r="L32" s="16">
        <v>0.18</v>
      </c>
      <c r="M32" s="10">
        <f t="shared" si="0"/>
        <v>9</v>
      </c>
      <c r="N32" s="10">
        <f t="shared" si="1"/>
        <v>14.1</v>
      </c>
      <c r="P32" s="16">
        <v>32.5</v>
      </c>
      <c r="Q32" s="17">
        <v>55.5</v>
      </c>
      <c r="R32" s="9">
        <v>43</v>
      </c>
      <c r="S32" s="9">
        <v>56.5</v>
      </c>
    </row>
    <row r="33" spans="1:19">
      <c r="A33" s="14" t="s">
        <v>112</v>
      </c>
      <c r="B33" s="10" t="s">
        <v>46</v>
      </c>
      <c r="C33" s="10">
        <v>4202920000</v>
      </c>
      <c r="D33" s="15" t="s">
        <v>113</v>
      </c>
      <c r="E33" s="29" t="s">
        <v>48</v>
      </c>
      <c r="F33" s="29" t="s">
        <v>49</v>
      </c>
      <c r="G33" s="29" t="s">
        <v>48</v>
      </c>
      <c r="H33" s="14" t="s">
        <v>112</v>
      </c>
      <c r="I33" s="18">
        <v>1</v>
      </c>
      <c r="J33" s="10" t="s">
        <v>50</v>
      </c>
      <c r="K33" s="10" t="s">
        <v>50</v>
      </c>
      <c r="L33" s="16" t="s">
        <v>50</v>
      </c>
      <c r="M33" s="10" t="e">
        <f t="shared" si="0"/>
        <v>#VALUE!</v>
      </c>
      <c r="N33" s="10" t="e">
        <f t="shared" si="1"/>
        <v>#VALUE!</v>
      </c>
      <c r="P33" s="16" t="s">
        <v>50</v>
      </c>
      <c r="Q33" s="17" t="s">
        <v>50</v>
      </c>
      <c r="R33" s="9" t="s">
        <v>50</v>
      </c>
      <c r="S33" s="9" t="s">
        <v>50</v>
      </c>
    </row>
    <row r="34" spans="1:19">
      <c r="A34" s="14" t="s">
        <v>114</v>
      </c>
      <c r="B34" s="10" t="s">
        <v>46</v>
      </c>
      <c r="C34" s="10">
        <v>4202920000</v>
      </c>
      <c r="D34" s="15" t="s">
        <v>115</v>
      </c>
      <c r="E34" s="29" t="s">
        <v>48</v>
      </c>
      <c r="F34" s="29" t="s">
        <v>49</v>
      </c>
      <c r="G34" s="29" t="s">
        <v>48</v>
      </c>
      <c r="H34" s="14" t="s">
        <v>114</v>
      </c>
      <c r="I34" s="10">
        <v>1</v>
      </c>
      <c r="J34" s="10" t="s">
        <v>50</v>
      </c>
      <c r="K34" s="10" t="s">
        <v>50</v>
      </c>
      <c r="L34" s="16" t="s">
        <v>50</v>
      </c>
      <c r="M34" s="10" t="e">
        <f t="shared" si="0"/>
        <v>#VALUE!</v>
      </c>
      <c r="N34" s="10" t="e">
        <f t="shared" si="1"/>
        <v>#VALUE!</v>
      </c>
      <c r="P34" s="16" t="s">
        <v>50</v>
      </c>
      <c r="Q34" s="17" t="s">
        <v>50</v>
      </c>
      <c r="R34" s="9" t="s">
        <v>50</v>
      </c>
      <c r="S34" s="9" t="s">
        <v>50</v>
      </c>
    </row>
    <row r="35" spans="1:19">
      <c r="A35" s="14" t="s">
        <v>116</v>
      </c>
      <c r="B35" s="10" t="s">
        <v>46</v>
      </c>
      <c r="C35" s="10">
        <v>4202920000</v>
      </c>
      <c r="D35" s="15" t="s">
        <v>117</v>
      </c>
      <c r="E35" s="29" t="s">
        <v>48</v>
      </c>
      <c r="F35" s="29" t="s">
        <v>49</v>
      </c>
      <c r="G35" s="29" t="s">
        <v>48</v>
      </c>
      <c r="H35" s="14" t="s">
        <v>116</v>
      </c>
      <c r="I35" s="18">
        <v>1</v>
      </c>
      <c r="J35" s="10" t="s">
        <v>50</v>
      </c>
      <c r="K35" s="10" t="s">
        <v>50</v>
      </c>
      <c r="L35" s="16" t="s">
        <v>50</v>
      </c>
      <c r="M35" s="10" t="e">
        <f t="shared" si="0"/>
        <v>#VALUE!</v>
      </c>
      <c r="N35" s="10" t="e">
        <f t="shared" si="1"/>
        <v>#VALUE!</v>
      </c>
      <c r="P35" s="16" t="s">
        <v>50</v>
      </c>
      <c r="Q35" s="17" t="s">
        <v>50</v>
      </c>
      <c r="R35" s="9" t="s">
        <v>50</v>
      </c>
      <c r="S35" s="9" t="s">
        <v>50</v>
      </c>
    </row>
    <row r="36" spans="1:19">
      <c r="A36" s="14" t="s">
        <v>118</v>
      </c>
      <c r="B36" s="10" t="s">
        <v>46</v>
      </c>
      <c r="C36" s="10">
        <v>4202920000</v>
      </c>
      <c r="D36" s="15" t="s">
        <v>119</v>
      </c>
      <c r="E36" s="29" t="s">
        <v>48</v>
      </c>
      <c r="F36" s="29" t="s">
        <v>49</v>
      </c>
      <c r="G36" s="29" t="s">
        <v>48</v>
      </c>
      <c r="H36" s="14" t="s">
        <v>118</v>
      </c>
      <c r="I36" s="10">
        <v>1</v>
      </c>
      <c r="J36" s="10" t="s">
        <v>50</v>
      </c>
      <c r="K36" s="10" t="s">
        <v>50</v>
      </c>
      <c r="L36" s="16" t="s">
        <v>50</v>
      </c>
      <c r="M36" s="10" t="e">
        <f t="shared" si="0"/>
        <v>#VALUE!</v>
      </c>
      <c r="N36" s="10" t="e">
        <f t="shared" si="1"/>
        <v>#VALUE!</v>
      </c>
      <c r="P36" s="16" t="s">
        <v>50</v>
      </c>
      <c r="Q36" s="17" t="s">
        <v>50</v>
      </c>
      <c r="R36" s="9" t="s">
        <v>50</v>
      </c>
      <c r="S36" s="9" t="s">
        <v>50</v>
      </c>
    </row>
    <row r="37" spans="1:19">
      <c r="A37" s="14" t="s">
        <v>120</v>
      </c>
      <c r="B37" s="10" t="s">
        <v>46</v>
      </c>
      <c r="C37" s="10">
        <v>4202920000</v>
      </c>
      <c r="D37" s="15" t="s">
        <v>121</v>
      </c>
      <c r="E37" s="29" t="s">
        <v>48</v>
      </c>
      <c r="F37" s="29" t="s">
        <v>49</v>
      </c>
      <c r="G37" s="29" t="s">
        <v>48</v>
      </c>
      <c r="H37" s="14" t="s">
        <v>120</v>
      </c>
      <c r="I37" s="18">
        <v>1</v>
      </c>
      <c r="J37" s="10" t="s">
        <v>50</v>
      </c>
      <c r="K37" s="10" t="s">
        <v>50</v>
      </c>
      <c r="L37" s="16" t="s">
        <v>50</v>
      </c>
      <c r="M37" s="10" t="e">
        <f t="shared" si="0"/>
        <v>#VALUE!</v>
      </c>
      <c r="N37" s="10" t="e">
        <f t="shared" si="1"/>
        <v>#VALUE!</v>
      </c>
      <c r="P37" s="16" t="s">
        <v>50</v>
      </c>
      <c r="Q37" s="17" t="s">
        <v>50</v>
      </c>
      <c r="R37" s="9" t="s">
        <v>50</v>
      </c>
      <c r="S37" s="9" t="s">
        <v>50</v>
      </c>
    </row>
    <row r="38" spans="1:19">
      <c r="A38" s="14" t="s">
        <v>122</v>
      </c>
      <c r="B38" s="10" t="s">
        <v>46</v>
      </c>
      <c r="C38" s="10">
        <v>4202920000</v>
      </c>
      <c r="D38" s="15" t="s">
        <v>123</v>
      </c>
      <c r="E38" s="29" t="s">
        <v>48</v>
      </c>
      <c r="F38" s="29" t="s">
        <v>49</v>
      </c>
      <c r="G38" s="29" t="s">
        <v>48</v>
      </c>
      <c r="H38" s="14" t="s">
        <v>122</v>
      </c>
      <c r="I38" s="10">
        <v>1</v>
      </c>
      <c r="J38" s="10" t="s">
        <v>50</v>
      </c>
      <c r="K38" s="10" t="s">
        <v>50</v>
      </c>
      <c r="L38" s="16" t="s">
        <v>50</v>
      </c>
      <c r="M38" s="10" t="e">
        <f t="shared" si="0"/>
        <v>#VALUE!</v>
      </c>
      <c r="N38" s="10" t="e">
        <f t="shared" si="1"/>
        <v>#VALUE!</v>
      </c>
      <c r="P38" s="16" t="s">
        <v>50</v>
      </c>
      <c r="Q38" s="17" t="s">
        <v>50</v>
      </c>
      <c r="R38" s="9" t="s">
        <v>50</v>
      </c>
      <c r="S38" s="9" t="s">
        <v>50</v>
      </c>
    </row>
    <row r="39" spans="1:19">
      <c r="A39" s="14" t="s">
        <v>124</v>
      </c>
      <c r="B39" s="10" t="s">
        <v>46</v>
      </c>
      <c r="C39" s="10">
        <v>4202920000</v>
      </c>
      <c r="D39" s="15" t="s">
        <v>125</v>
      </c>
      <c r="E39" s="29" t="s">
        <v>48</v>
      </c>
      <c r="F39" s="29" t="s">
        <v>49</v>
      </c>
      <c r="G39" s="29" t="s">
        <v>48</v>
      </c>
      <c r="H39" s="14" t="s">
        <v>124</v>
      </c>
      <c r="I39" s="18">
        <v>1</v>
      </c>
      <c r="J39" s="10" t="s">
        <v>50</v>
      </c>
      <c r="K39" s="10" t="s">
        <v>50</v>
      </c>
      <c r="L39" s="16" t="s">
        <v>50</v>
      </c>
      <c r="M39" s="10" t="e">
        <f t="shared" si="0"/>
        <v>#VALUE!</v>
      </c>
      <c r="N39" s="10" t="e">
        <f t="shared" si="1"/>
        <v>#VALUE!</v>
      </c>
      <c r="P39" s="16" t="s">
        <v>50</v>
      </c>
      <c r="Q39" s="17" t="s">
        <v>50</v>
      </c>
      <c r="R39" s="9" t="s">
        <v>50</v>
      </c>
      <c r="S39" s="9" t="s">
        <v>50</v>
      </c>
    </row>
    <row r="40" spans="1:19">
      <c r="A40" s="14" t="s">
        <v>126</v>
      </c>
      <c r="B40" s="10" t="s">
        <v>46</v>
      </c>
      <c r="C40" s="10">
        <v>4202920000</v>
      </c>
      <c r="D40" s="15" t="s">
        <v>127</v>
      </c>
      <c r="E40" s="29" t="s">
        <v>48</v>
      </c>
      <c r="F40" s="29" t="s">
        <v>49</v>
      </c>
      <c r="G40" s="29" t="s">
        <v>48</v>
      </c>
      <c r="H40" s="14" t="s">
        <v>126</v>
      </c>
      <c r="I40" s="10">
        <v>1</v>
      </c>
      <c r="J40" s="10" t="s">
        <v>50</v>
      </c>
      <c r="K40" s="10" t="s">
        <v>50</v>
      </c>
      <c r="L40" s="16" t="s">
        <v>50</v>
      </c>
      <c r="M40" s="10" t="e">
        <f t="shared" si="0"/>
        <v>#VALUE!</v>
      </c>
      <c r="N40" s="10" t="e">
        <f t="shared" si="1"/>
        <v>#VALUE!</v>
      </c>
      <c r="P40" s="16" t="s">
        <v>50</v>
      </c>
      <c r="Q40" s="17" t="s">
        <v>50</v>
      </c>
      <c r="R40" s="9" t="s">
        <v>50</v>
      </c>
      <c r="S40" s="9" t="s">
        <v>50</v>
      </c>
    </row>
    <row r="41" spans="1:19">
      <c r="A41" s="14" t="s">
        <v>128</v>
      </c>
      <c r="B41" s="10" t="s">
        <v>46</v>
      </c>
      <c r="C41" s="10">
        <v>4202920000</v>
      </c>
      <c r="D41" s="15" t="s">
        <v>129</v>
      </c>
      <c r="E41" s="29" t="s">
        <v>48</v>
      </c>
      <c r="F41" s="29" t="s">
        <v>49</v>
      </c>
      <c r="G41" s="29" t="s">
        <v>48</v>
      </c>
      <c r="H41" s="14" t="s">
        <v>128</v>
      </c>
      <c r="I41" s="18">
        <v>1</v>
      </c>
      <c r="J41" s="10">
        <v>84</v>
      </c>
      <c r="K41" s="10">
        <v>0.14</v>
      </c>
      <c r="L41" s="16">
        <v>0.6</v>
      </c>
      <c r="M41" s="10">
        <f t="shared" si="0"/>
        <v>11.76</v>
      </c>
      <c r="N41" s="10">
        <f t="shared" si="1"/>
        <v>63.66</v>
      </c>
      <c r="P41" s="16">
        <v>18</v>
      </c>
      <c r="Q41" s="17">
        <v>53</v>
      </c>
      <c r="R41" s="9">
        <v>47</v>
      </c>
      <c r="S41" s="9">
        <v>51</v>
      </c>
    </row>
    <row r="42" spans="1:19">
      <c r="A42" s="14" t="s">
        <v>130</v>
      </c>
      <c r="B42" s="10" t="s">
        <v>46</v>
      </c>
      <c r="C42" s="10">
        <v>4202920000</v>
      </c>
      <c r="D42" s="15" t="s">
        <v>131</v>
      </c>
      <c r="E42" s="29" t="s">
        <v>48</v>
      </c>
      <c r="F42" s="29" t="s">
        <v>49</v>
      </c>
      <c r="G42" s="29" t="s">
        <v>48</v>
      </c>
      <c r="H42" s="14" t="s">
        <v>130</v>
      </c>
      <c r="I42" s="10">
        <v>1</v>
      </c>
      <c r="J42" s="10" t="s">
        <v>50</v>
      </c>
      <c r="K42" s="10" t="s">
        <v>50</v>
      </c>
      <c r="L42" s="16" t="s">
        <v>50</v>
      </c>
      <c r="M42" s="10" t="e">
        <f t="shared" si="0"/>
        <v>#VALUE!</v>
      </c>
      <c r="N42" s="10" t="e">
        <f t="shared" si="1"/>
        <v>#VALUE!</v>
      </c>
      <c r="P42" s="16" t="s">
        <v>50</v>
      </c>
      <c r="Q42" s="17" t="s">
        <v>50</v>
      </c>
      <c r="R42" s="9" t="s">
        <v>50</v>
      </c>
      <c r="S42" s="9" t="s">
        <v>50</v>
      </c>
    </row>
    <row r="43" spans="1:19">
      <c r="A43" s="14" t="s">
        <v>132</v>
      </c>
      <c r="B43" s="10" t="s">
        <v>46</v>
      </c>
      <c r="C43" s="10">
        <v>4202920000</v>
      </c>
      <c r="D43" s="15" t="s">
        <v>133</v>
      </c>
      <c r="E43" s="29" t="s">
        <v>48</v>
      </c>
      <c r="F43" s="29" t="s">
        <v>49</v>
      </c>
      <c r="G43" s="29" t="s">
        <v>48</v>
      </c>
      <c r="H43" s="14" t="s">
        <v>132</v>
      </c>
      <c r="I43" s="18">
        <v>1</v>
      </c>
      <c r="J43" s="10" t="s">
        <v>50</v>
      </c>
      <c r="K43" s="10" t="s">
        <v>50</v>
      </c>
      <c r="L43" s="16" t="s">
        <v>50</v>
      </c>
      <c r="M43" s="10" t="e">
        <f t="shared" si="0"/>
        <v>#VALUE!</v>
      </c>
      <c r="N43" s="10" t="e">
        <f t="shared" si="1"/>
        <v>#VALUE!</v>
      </c>
      <c r="P43" s="16" t="s">
        <v>50</v>
      </c>
      <c r="Q43" s="17" t="s">
        <v>50</v>
      </c>
      <c r="R43" s="9" t="s">
        <v>50</v>
      </c>
      <c r="S43" s="9" t="s">
        <v>50</v>
      </c>
    </row>
    <row r="44" spans="1:19">
      <c r="A44" s="14" t="s">
        <v>134</v>
      </c>
      <c r="B44" s="10" t="s">
        <v>46</v>
      </c>
      <c r="C44" s="10">
        <v>4202920000</v>
      </c>
      <c r="D44" s="15" t="s">
        <v>135</v>
      </c>
      <c r="E44" s="29" t="s">
        <v>48</v>
      </c>
      <c r="F44" s="29" t="s">
        <v>49</v>
      </c>
      <c r="G44" s="29" t="s">
        <v>48</v>
      </c>
      <c r="H44" s="14" t="s">
        <v>134</v>
      </c>
      <c r="I44" s="10">
        <v>1</v>
      </c>
      <c r="J44" s="10" t="s">
        <v>50</v>
      </c>
      <c r="K44" s="10" t="s">
        <v>50</v>
      </c>
      <c r="L44" s="16" t="s">
        <v>50</v>
      </c>
      <c r="M44" s="10" t="e">
        <f t="shared" si="0"/>
        <v>#VALUE!</v>
      </c>
      <c r="N44" s="10" t="e">
        <f t="shared" si="1"/>
        <v>#VALUE!</v>
      </c>
      <c r="P44" s="16" t="s">
        <v>50</v>
      </c>
      <c r="Q44" s="17" t="s">
        <v>50</v>
      </c>
      <c r="R44" s="9" t="s">
        <v>50</v>
      </c>
      <c r="S44" s="9" t="s">
        <v>50</v>
      </c>
    </row>
    <row r="45" spans="1:19">
      <c r="A45" s="14" t="s">
        <v>136</v>
      </c>
      <c r="B45" s="10" t="s">
        <v>46</v>
      </c>
      <c r="C45" s="10">
        <v>4202920000</v>
      </c>
      <c r="D45" s="15" t="s">
        <v>137</v>
      </c>
      <c r="E45" s="29" t="s">
        <v>48</v>
      </c>
      <c r="F45" s="29" t="s">
        <v>49</v>
      </c>
      <c r="G45" s="29" t="s">
        <v>48</v>
      </c>
      <c r="H45" s="14" t="s">
        <v>136</v>
      </c>
      <c r="I45" s="18">
        <v>1</v>
      </c>
      <c r="J45" s="10">
        <v>20</v>
      </c>
      <c r="K45" s="10">
        <v>0.45</v>
      </c>
      <c r="L45" s="16">
        <v>0.18</v>
      </c>
      <c r="M45" s="10">
        <f t="shared" si="0"/>
        <v>9</v>
      </c>
      <c r="N45" s="10">
        <f t="shared" si="1"/>
        <v>14.1</v>
      </c>
      <c r="P45" s="16">
        <v>32.5</v>
      </c>
      <c r="Q45" s="17">
        <v>55.5</v>
      </c>
      <c r="R45" s="9">
        <v>43</v>
      </c>
      <c r="S45" s="9">
        <v>56.5</v>
      </c>
    </row>
    <row r="46" spans="1:19">
      <c r="A46" s="14" t="s">
        <v>138</v>
      </c>
      <c r="B46" s="10" t="s">
        <v>46</v>
      </c>
      <c r="C46" s="10">
        <v>4202920000</v>
      </c>
      <c r="D46" s="15" t="s">
        <v>139</v>
      </c>
      <c r="E46" s="29" t="s">
        <v>48</v>
      </c>
      <c r="F46" s="29" t="s">
        <v>49</v>
      </c>
      <c r="G46" s="29" t="s">
        <v>48</v>
      </c>
      <c r="H46" s="14" t="s">
        <v>138</v>
      </c>
      <c r="I46" s="10">
        <v>1</v>
      </c>
      <c r="J46" s="10" t="s">
        <v>50</v>
      </c>
      <c r="K46" s="10" t="s">
        <v>50</v>
      </c>
      <c r="L46" s="16" t="s">
        <v>50</v>
      </c>
      <c r="M46" s="10" t="e">
        <f t="shared" si="0"/>
        <v>#VALUE!</v>
      </c>
      <c r="N46" s="10" t="e">
        <f t="shared" si="1"/>
        <v>#VALUE!</v>
      </c>
      <c r="P46" s="16" t="s">
        <v>50</v>
      </c>
      <c r="Q46" s="17" t="s">
        <v>50</v>
      </c>
      <c r="R46" s="9" t="s">
        <v>50</v>
      </c>
      <c r="S46" s="9" t="s">
        <v>50</v>
      </c>
    </row>
    <row r="47" spans="1:19">
      <c r="A47" s="14" t="s">
        <v>140</v>
      </c>
      <c r="B47" s="10" t="s">
        <v>46</v>
      </c>
      <c r="C47" s="10">
        <v>4202920000</v>
      </c>
      <c r="D47" s="15" t="s">
        <v>141</v>
      </c>
      <c r="E47" s="29" t="s">
        <v>48</v>
      </c>
      <c r="F47" s="29" t="s">
        <v>49</v>
      </c>
      <c r="G47" s="29" t="s">
        <v>48</v>
      </c>
      <c r="H47" s="14" t="s">
        <v>140</v>
      </c>
      <c r="I47" s="18">
        <v>1</v>
      </c>
      <c r="J47" s="10">
        <v>84</v>
      </c>
      <c r="K47" s="10">
        <v>0.14</v>
      </c>
      <c r="L47" s="16">
        <v>0.6</v>
      </c>
      <c r="M47" s="10">
        <f t="shared" si="0"/>
        <v>11.76</v>
      </c>
      <c r="N47" s="10">
        <f t="shared" si="1"/>
        <v>63.66</v>
      </c>
      <c r="P47" s="16">
        <v>18</v>
      </c>
      <c r="Q47" s="17">
        <v>53</v>
      </c>
      <c r="R47" s="9">
        <v>47</v>
      </c>
      <c r="S47" s="9">
        <v>51</v>
      </c>
    </row>
    <row r="48" spans="1:19">
      <c r="A48" s="14" t="s">
        <v>142</v>
      </c>
      <c r="B48" s="10" t="s">
        <v>46</v>
      </c>
      <c r="C48" s="10">
        <v>4202920000</v>
      </c>
      <c r="D48" s="15" t="s">
        <v>143</v>
      </c>
      <c r="E48" s="29" t="s">
        <v>48</v>
      </c>
      <c r="F48" s="29" t="s">
        <v>49</v>
      </c>
      <c r="G48" s="29" t="s">
        <v>48</v>
      </c>
      <c r="H48" s="14" t="s">
        <v>142</v>
      </c>
      <c r="I48" s="10">
        <v>1</v>
      </c>
      <c r="J48" s="10" t="s">
        <v>50</v>
      </c>
      <c r="K48" s="10" t="s">
        <v>50</v>
      </c>
      <c r="L48" s="16" t="s">
        <v>50</v>
      </c>
      <c r="M48" s="10" t="e">
        <f t="shared" si="0"/>
        <v>#VALUE!</v>
      </c>
      <c r="N48" s="10" t="e">
        <f t="shared" si="1"/>
        <v>#VALUE!</v>
      </c>
      <c r="P48" s="16" t="s">
        <v>50</v>
      </c>
      <c r="Q48" s="17" t="s">
        <v>50</v>
      </c>
      <c r="R48" s="9" t="s">
        <v>50</v>
      </c>
      <c r="S48" s="9" t="s">
        <v>50</v>
      </c>
    </row>
    <row r="49" spans="1:19">
      <c r="A49" s="14" t="s">
        <v>144</v>
      </c>
      <c r="B49" s="10" t="s">
        <v>46</v>
      </c>
      <c r="C49" s="10">
        <v>4202920000</v>
      </c>
      <c r="D49" s="15" t="s">
        <v>145</v>
      </c>
      <c r="E49" s="29" t="s">
        <v>48</v>
      </c>
      <c r="F49" s="29" t="s">
        <v>49</v>
      </c>
      <c r="G49" s="29" t="s">
        <v>48</v>
      </c>
      <c r="H49" s="14" t="s">
        <v>144</v>
      </c>
      <c r="I49" s="18">
        <v>1</v>
      </c>
      <c r="J49" s="10" t="s">
        <v>50</v>
      </c>
      <c r="K49" s="10" t="s">
        <v>50</v>
      </c>
      <c r="L49" s="16" t="s">
        <v>50</v>
      </c>
      <c r="M49" s="10" t="e">
        <f t="shared" si="0"/>
        <v>#VALUE!</v>
      </c>
      <c r="N49" s="10" t="e">
        <f t="shared" si="1"/>
        <v>#VALUE!</v>
      </c>
      <c r="P49" s="16" t="s">
        <v>50</v>
      </c>
      <c r="Q49" s="17" t="s">
        <v>50</v>
      </c>
      <c r="R49" s="9" t="s">
        <v>50</v>
      </c>
      <c r="S49" s="9" t="s">
        <v>50</v>
      </c>
    </row>
    <row r="50" spans="1:19">
      <c r="A50" s="14" t="s">
        <v>146</v>
      </c>
      <c r="B50" s="10" t="s">
        <v>46</v>
      </c>
      <c r="C50" s="10">
        <v>4202920000</v>
      </c>
      <c r="D50" s="15" t="s">
        <v>147</v>
      </c>
      <c r="E50" s="29" t="s">
        <v>61</v>
      </c>
      <c r="F50" s="29" t="s">
        <v>49</v>
      </c>
      <c r="G50" s="29" t="s">
        <v>48</v>
      </c>
      <c r="H50" s="14" t="s">
        <v>146</v>
      </c>
      <c r="I50" s="18">
        <v>2</v>
      </c>
      <c r="J50" s="10">
        <v>42</v>
      </c>
      <c r="K50" s="10">
        <v>0.4</v>
      </c>
      <c r="L50" s="16">
        <v>0.1</v>
      </c>
      <c r="M50" s="10">
        <f t="shared" si="0"/>
        <v>16.8</v>
      </c>
      <c r="N50" s="10">
        <f t="shared" si="1"/>
        <v>22.5</v>
      </c>
      <c r="P50" s="16">
        <v>33</v>
      </c>
      <c r="Q50" s="17">
        <v>53</v>
      </c>
      <c r="R50" s="9">
        <v>47</v>
      </c>
      <c r="S50" s="9">
        <v>51</v>
      </c>
    </row>
    <row r="51" spans="1:19">
      <c r="A51" s="14" t="s">
        <v>148</v>
      </c>
      <c r="B51" s="10" t="s">
        <v>46</v>
      </c>
      <c r="C51" s="10">
        <v>4202920000</v>
      </c>
      <c r="D51" s="15" t="s">
        <v>149</v>
      </c>
      <c r="E51" s="29" t="s">
        <v>61</v>
      </c>
      <c r="F51" s="29" t="s">
        <v>49</v>
      </c>
      <c r="G51" s="29" t="s">
        <v>48</v>
      </c>
      <c r="H51" s="14" t="s">
        <v>148</v>
      </c>
      <c r="I51" s="18">
        <v>2</v>
      </c>
      <c r="J51" s="10" t="s">
        <v>50</v>
      </c>
      <c r="K51" s="10" t="s">
        <v>50</v>
      </c>
      <c r="L51" s="16" t="s">
        <v>50</v>
      </c>
      <c r="M51" s="10" t="e">
        <f t="shared" si="0"/>
        <v>#VALUE!</v>
      </c>
      <c r="N51" s="10" t="e">
        <f t="shared" si="1"/>
        <v>#VALUE!</v>
      </c>
      <c r="P51" s="16" t="s">
        <v>50</v>
      </c>
      <c r="Q51" s="17" t="s">
        <v>50</v>
      </c>
      <c r="R51" s="9" t="s">
        <v>50</v>
      </c>
      <c r="S51" s="9" t="s">
        <v>50</v>
      </c>
    </row>
    <row r="52" spans="1:19">
      <c r="A52" s="14" t="s">
        <v>150</v>
      </c>
      <c r="B52" s="10" t="s">
        <v>46</v>
      </c>
      <c r="C52" s="10">
        <v>4202920000</v>
      </c>
      <c r="D52" s="15" t="s">
        <v>151</v>
      </c>
      <c r="E52" s="29" t="s">
        <v>61</v>
      </c>
      <c r="F52" s="29" t="s">
        <v>49</v>
      </c>
      <c r="G52" s="29" t="s">
        <v>48</v>
      </c>
      <c r="H52" s="14" t="s">
        <v>150</v>
      </c>
      <c r="I52" s="18">
        <v>2</v>
      </c>
      <c r="J52" s="10" t="s">
        <v>50</v>
      </c>
      <c r="K52" s="10" t="s">
        <v>50</v>
      </c>
      <c r="L52" s="16" t="s">
        <v>50</v>
      </c>
      <c r="M52" s="10" t="e">
        <f t="shared" si="0"/>
        <v>#VALUE!</v>
      </c>
      <c r="N52" s="10" t="e">
        <f t="shared" si="1"/>
        <v>#VALUE!</v>
      </c>
      <c r="P52" s="16" t="s">
        <v>50</v>
      </c>
      <c r="Q52" s="17" t="s">
        <v>50</v>
      </c>
      <c r="R52" s="9" t="s">
        <v>50</v>
      </c>
      <c r="S52" s="9" t="s">
        <v>50</v>
      </c>
    </row>
    <row r="53" ht="17" customHeight="1" spans="1:19">
      <c r="A53" s="14" t="s">
        <v>152</v>
      </c>
      <c r="B53" s="10" t="s">
        <v>46</v>
      </c>
      <c r="C53" s="10">
        <v>4202920000</v>
      </c>
      <c r="D53" s="15" t="s">
        <v>153</v>
      </c>
      <c r="E53" s="29" t="s">
        <v>61</v>
      </c>
      <c r="F53" s="29" t="s">
        <v>49</v>
      </c>
      <c r="G53" s="29" t="s">
        <v>48</v>
      </c>
      <c r="H53" s="14" t="s">
        <v>152</v>
      </c>
      <c r="I53" s="18">
        <v>2</v>
      </c>
      <c r="J53" s="10" t="s">
        <v>50</v>
      </c>
      <c r="K53" s="10" t="s">
        <v>50</v>
      </c>
      <c r="L53" s="16" t="s">
        <v>50</v>
      </c>
      <c r="M53" s="10" t="e">
        <f t="shared" si="0"/>
        <v>#VALUE!</v>
      </c>
      <c r="N53" s="10" t="e">
        <f t="shared" si="1"/>
        <v>#VALUE!</v>
      </c>
      <c r="P53" s="16" t="s">
        <v>50</v>
      </c>
      <c r="Q53" s="17" t="s">
        <v>50</v>
      </c>
      <c r="R53" s="9" t="s">
        <v>50</v>
      </c>
      <c r="S53" s="9" t="s">
        <v>50</v>
      </c>
    </row>
    <row r="54" ht="17" customHeight="1" spans="1:19">
      <c r="A54" s="14" t="s">
        <v>154</v>
      </c>
      <c r="B54" s="10" t="s">
        <v>46</v>
      </c>
      <c r="C54" s="10">
        <v>4202920000</v>
      </c>
      <c r="D54" s="15" t="s">
        <v>155</v>
      </c>
      <c r="E54" s="29" t="s">
        <v>48</v>
      </c>
      <c r="F54" s="29" t="s">
        <v>49</v>
      </c>
      <c r="G54" s="29" t="s">
        <v>48</v>
      </c>
      <c r="H54" s="14" t="s">
        <v>154</v>
      </c>
      <c r="I54" s="18">
        <v>1</v>
      </c>
      <c r="J54" s="10" t="s">
        <v>50</v>
      </c>
      <c r="K54" s="10" t="s">
        <v>50</v>
      </c>
      <c r="L54" s="16" t="s">
        <v>50</v>
      </c>
      <c r="M54" s="10" t="e">
        <f t="shared" si="0"/>
        <v>#VALUE!</v>
      </c>
      <c r="N54" s="10" t="e">
        <f t="shared" si="1"/>
        <v>#VALUE!</v>
      </c>
      <c r="P54" s="16" t="s">
        <v>50</v>
      </c>
      <c r="Q54" s="17" t="s">
        <v>50</v>
      </c>
      <c r="R54" s="9" t="s">
        <v>50</v>
      </c>
      <c r="S54" s="9" t="s">
        <v>50</v>
      </c>
    </row>
    <row r="55" ht="17" customHeight="1" spans="1:19">
      <c r="A55" s="14" t="s">
        <v>156</v>
      </c>
      <c r="B55" s="10" t="s">
        <v>46</v>
      </c>
      <c r="C55" s="10">
        <v>4202920000</v>
      </c>
      <c r="D55" s="15" t="s">
        <v>157</v>
      </c>
      <c r="E55" s="29" t="s">
        <v>48</v>
      </c>
      <c r="F55" s="29" t="s">
        <v>49</v>
      </c>
      <c r="G55" s="29" t="s">
        <v>48</v>
      </c>
      <c r="H55" s="14" t="s">
        <v>156</v>
      </c>
      <c r="I55" s="18">
        <v>1</v>
      </c>
      <c r="J55" s="10">
        <v>24</v>
      </c>
      <c r="K55" s="10">
        <v>0.3</v>
      </c>
      <c r="L55" s="16">
        <v>0.1</v>
      </c>
      <c r="M55" s="10">
        <f t="shared" si="0"/>
        <v>7.2</v>
      </c>
      <c r="N55" s="10">
        <f t="shared" si="1"/>
        <v>11.1</v>
      </c>
      <c r="P55" s="16">
        <v>23</v>
      </c>
      <c r="Q55" s="17">
        <v>52</v>
      </c>
      <c r="R55" s="9">
        <v>54.5</v>
      </c>
      <c r="S55" s="9">
        <v>44</v>
      </c>
    </row>
    <row r="56" ht="17" customHeight="1" spans="1:19">
      <c r="A56" s="14" t="s">
        <v>158</v>
      </c>
      <c r="B56" s="10" t="s">
        <v>46</v>
      </c>
      <c r="C56" s="10">
        <v>4202920000</v>
      </c>
      <c r="D56" s="15" t="s">
        <v>159</v>
      </c>
      <c r="E56" s="29" t="s">
        <v>48</v>
      </c>
      <c r="F56" s="29" t="s">
        <v>49</v>
      </c>
      <c r="G56" s="29" t="s">
        <v>48</v>
      </c>
      <c r="H56" s="14" t="s">
        <v>158</v>
      </c>
      <c r="I56" s="18">
        <v>1</v>
      </c>
      <c r="J56" s="10">
        <v>24</v>
      </c>
      <c r="K56" s="10">
        <v>0.3</v>
      </c>
      <c r="L56" s="16">
        <v>0.1</v>
      </c>
      <c r="M56" s="10">
        <f t="shared" si="0"/>
        <v>7.2</v>
      </c>
      <c r="N56" s="10">
        <f t="shared" si="1"/>
        <v>11.1</v>
      </c>
      <c r="P56" s="16">
        <v>23</v>
      </c>
      <c r="Q56" s="17">
        <v>52</v>
      </c>
      <c r="R56" s="9">
        <v>54.5</v>
      </c>
      <c r="S56" s="9">
        <v>44</v>
      </c>
    </row>
    <row r="57" ht="17" customHeight="1" spans="1:19">
      <c r="A57" s="14" t="s">
        <v>160</v>
      </c>
      <c r="B57" s="10" t="s">
        <v>46</v>
      </c>
      <c r="C57" s="10">
        <v>4202920000</v>
      </c>
      <c r="D57" s="15" t="s">
        <v>161</v>
      </c>
      <c r="E57" s="29" t="s">
        <v>48</v>
      </c>
      <c r="F57" s="29" t="s">
        <v>49</v>
      </c>
      <c r="G57" s="29" t="s">
        <v>48</v>
      </c>
      <c r="H57" s="14" t="s">
        <v>160</v>
      </c>
      <c r="I57" s="18">
        <v>1</v>
      </c>
      <c r="J57" s="10" t="s">
        <v>50</v>
      </c>
      <c r="K57" s="10" t="s">
        <v>50</v>
      </c>
      <c r="L57" s="16" t="s">
        <v>50</v>
      </c>
      <c r="M57" s="10" t="e">
        <f t="shared" si="0"/>
        <v>#VALUE!</v>
      </c>
      <c r="N57" s="10" t="e">
        <f t="shared" si="1"/>
        <v>#VALUE!</v>
      </c>
      <c r="P57" s="16" t="s">
        <v>50</v>
      </c>
      <c r="Q57" s="17" t="s">
        <v>50</v>
      </c>
      <c r="R57" s="9" t="s">
        <v>50</v>
      </c>
      <c r="S57" s="9" t="s">
        <v>50</v>
      </c>
    </row>
    <row r="58" ht="17" customHeight="1" spans="1:19">
      <c r="A58" s="14" t="s">
        <v>162</v>
      </c>
      <c r="B58" s="10" t="s">
        <v>46</v>
      </c>
      <c r="C58" s="10">
        <v>4202920000</v>
      </c>
      <c r="D58" s="9" t="s">
        <v>163</v>
      </c>
      <c r="E58" s="29" t="s">
        <v>48</v>
      </c>
      <c r="F58" s="29" t="s">
        <v>49</v>
      </c>
      <c r="G58" s="29" t="s">
        <v>48</v>
      </c>
      <c r="H58" s="14" t="s">
        <v>162</v>
      </c>
      <c r="I58" s="10">
        <v>1</v>
      </c>
      <c r="J58" s="10" t="s">
        <v>50</v>
      </c>
      <c r="K58" s="10" t="s">
        <v>50</v>
      </c>
      <c r="L58" s="16" t="s">
        <v>50</v>
      </c>
      <c r="M58" s="10" t="e">
        <f t="shared" si="0"/>
        <v>#VALUE!</v>
      </c>
      <c r="N58" s="10" t="e">
        <f t="shared" si="1"/>
        <v>#VALUE!</v>
      </c>
      <c r="P58" s="16" t="s">
        <v>50</v>
      </c>
      <c r="Q58" s="17" t="s">
        <v>50</v>
      </c>
      <c r="R58" s="9" t="s">
        <v>50</v>
      </c>
      <c r="S58" s="9" t="s">
        <v>50</v>
      </c>
    </row>
    <row r="59" ht="17" customHeight="1" spans="1:19">
      <c r="A59" s="14" t="s">
        <v>164</v>
      </c>
      <c r="B59" s="10" t="s">
        <v>46</v>
      </c>
      <c r="C59" s="10">
        <v>4202920000</v>
      </c>
      <c r="D59" s="9" t="s">
        <v>165</v>
      </c>
      <c r="E59" s="29" t="s">
        <v>48</v>
      </c>
      <c r="F59" s="29" t="s">
        <v>49</v>
      </c>
      <c r="G59" s="29" t="s">
        <v>48</v>
      </c>
      <c r="H59" s="14" t="s">
        <v>164</v>
      </c>
      <c r="I59" s="18">
        <v>1</v>
      </c>
      <c r="J59" s="10" t="s">
        <v>50</v>
      </c>
      <c r="K59" s="10" t="s">
        <v>50</v>
      </c>
      <c r="L59" s="16" t="s">
        <v>50</v>
      </c>
      <c r="M59" s="10" t="e">
        <f t="shared" si="0"/>
        <v>#VALUE!</v>
      </c>
      <c r="N59" s="10" t="e">
        <f t="shared" si="1"/>
        <v>#VALUE!</v>
      </c>
      <c r="P59" s="16" t="s">
        <v>50</v>
      </c>
      <c r="Q59" s="17" t="s">
        <v>50</v>
      </c>
      <c r="R59" s="9" t="s">
        <v>50</v>
      </c>
      <c r="S59" s="9" t="s">
        <v>50</v>
      </c>
    </row>
    <row r="60" ht="17" customHeight="1" spans="1:19">
      <c r="A60" s="14" t="s">
        <v>166</v>
      </c>
      <c r="B60" s="10" t="s">
        <v>46</v>
      </c>
      <c r="C60" s="10">
        <v>4202920000</v>
      </c>
      <c r="D60" s="15" t="s">
        <v>167</v>
      </c>
      <c r="E60" s="29" t="s">
        <v>48</v>
      </c>
      <c r="F60" s="29" t="s">
        <v>49</v>
      </c>
      <c r="G60" s="29" t="s">
        <v>48</v>
      </c>
      <c r="H60" s="14" t="s">
        <v>166</v>
      </c>
      <c r="I60" s="18">
        <v>1</v>
      </c>
      <c r="J60" s="10">
        <v>24</v>
      </c>
      <c r="K60" s="10">
        <v>0.28</v>
      </c>
      <c r="L60" s="16">
        <v>0</v>
      </c>
      <c r="M60" s="10">
        <f t="shared" si="0"/>
        <v>6.72</v>
      </c>
      <c r="N60" s="10">
        <f t="shared" si="1"/>
        <v>8.22</v>
      </c>
      <c r="P60" s="16">
        <v>23</v>
      </c>
      <c r="Q60" s="17">
        <v>57</v>
      </c>
      <c r="R60" s="9">
        <v>52</v>
      </c>
      <c r="S60" s="9">
        <v>39</v>
      </c>
    </row>
    <row r="61" ht="17" customHeight="1" spans="1:19">
      <c r="A61" s="14" t="s">
        <v>168</v>
      </c>
      <c r="B61" s="10" t="s">
        <v>46</v>
      </c>
      <c r="C61" s="10">
        <v>4202920000</v>
      </c>
      <c r="D61" s="9" t="s">
        <v>169</v>
      </c>
      <c r="E61" s="29" t="s">
        <v>48</v>
      </c>
      <c r="F61" s="29" t="s">
        <v>49</v>
      </c>
      <c r="G61" s="29" t="s">
        <v>48</v>
      </c>
      <c r="H61" s="14" t="s">
        <v>168</v>
      </c>
      <c r="I61" s="18">
        <v>1</v>
      </c>
      <c r="J61" s="10">
        <v>24</v>
      </c>
      <c r="K61" s="10">
        <v>0.28</v>
      </c>
      <c r="L61" s="16">
        <v>0</v>
      </c>
      <c r="M61" s="10">
        <f t="shared" si="0"/>
        <v>6.72</v>
      </c>
      <c r="N61" s="10">
        <f t="shared" si="1"/>
        <v>8.22</v>
      </c>
      <c r="P61" s="16">
        <v>23</v>
      </c>
      <c r="Q61" s="17">
        <v>57</v>
      </c>
      <c r="R61" s="9">
        <v>52</v>
      </c>
      <c r="S61" s="9">
        <v>39</v>
      </c>
    </row>
    <row r="62" ht="17" customHeight="1" spans="1:19">
      <c r="A62" s="14" t="s">
        <v>170</v>
      </c>
      <c r="B62" s="10" t="s">
        <v>46</v>
      </c>
      <c r="C62" s="10">
        <v>4202920000</v>
      </c>
      <c r="D62" s="9" t="s">
        <v>171</v>
      </c>
      <c r="E62" s="29" t="s">
        <v>48</v>
      </c>
      <c r="F62" s="29" t="s">
        <v>49</v>
      </c>
      <c r="G62" s="29" t="s">
        <v>48</v>
      </c>
      <c r="H62" s="14" t="s">
        <v>170</v>
      </c>
      <c r="I62" s="18">
        <v>1</v>
      </c>
      <c r="J62" s="10">
        <v>24</v>
      </c>
      <c r="K62" s="10">
        <v>0.28</v>
      </c>
      <c r="L62" s="16">
        <v>0</v>
      </c>
      <c r="M62" s="10">
        <f t="shared" si="0"/>
        <v>6.72</v>
      </c>
      <c r="N62" s="10">
        <f t="shared" si="1"/>
        <v>8.22</v>
      </c>
      <c r="P62" s="16">
        <v>23</v>
      </c>
      <c r="Q62" s="17">
        <v>57</v>
      </c>
      <c r="R62" s="9">
        <v>52</v>
      </c>
      <c r="S62" s="9">
        <v>39</v>
      </c>
    </row>
    <row r="63" ht="17" customHeight="1" spans="1:19">
      <c r="A63" s="14" t="s">
        <v>172</v>
      </c>
      <c r="B63" s="10" t="s">
        <v>173</v>
      </c>
      <c r="C63" s="10">
        <v>4202129000</v>
      </c>
      <c r="D63" s="15" t="s">
        <v>174</v>
      </c>
      <c r="E63" s="29" t="s">
        <v>48</v>
      </c>
      <c r="F63" s="29" t="s">
        <v>49</v>
      </c>
      <c r="G63" s="29" t="s">
        <v>48</v>
      </c>
      <c r="H63" s="14" t="s">
        <v>172</v>
      </c>
      <c r="I63" s="18">
        <v>1</v>
      </c>
      <c r="J63" s="10" t="s">
        <v>50</v>
      </c>
      <c r="K63" s="10" t="s">
        <v>50</v>
      </c>
      <c r="L63" s="16" t="s">
        <v>50</v>
      </c>
      <c r="M63" s="10" t="e">
        <f t="shared" si="0"/>
        <v>#VALUE!</v>
      </c>
      <c r="N63" s="10" t="e">
        <f t="shared" si="1"/>
        <v>#VALUE!</v>
      </c>
      <c r="P63" s="16" t="s">
        <v>50</v>
      </c>
      <c r="Q63" s="17" t="s">
        <v>50</v>
      </c>
      <c r="R63" s="9" t="s">
        <v>50</v>
      </c>
      <c r="S63" s="9" t="s">
        <v>50</v>
      </c>
    </row>
    <row r="64" ht="17" customHeight="1" spans="1:19">
      <c r="A64" s="14" t="s">
        <v>175</v>
      </c>
      <c r="B64" s="10" t="s">
        <v>173</v>
      </c>
      <c r="C64" s="10">
        <v>4202129000</v>
      </c>
      <c r="D64" s="15" t="s">
        <v>176</v>
      </c>
      <c r="E64" s="29" t="s">
        <v>48</v>
      </c>
      <c r="F64" s="29" t="s">
        <v>49</v>
      </c>
      <c r="G64" s="29" t="s">
        <v>48</v>
      </c>
      <c r="H64" s="14" t="s">
        <v>175</v>
      </c>
      <c r="I64" s="18">
        <v>1</v>
      </c>
      <c r="J64" s="10">
        <v>66</v>
      </c>
      <c r="K64" s="10">
        <v>0.17</v>
      </c>
      <c r="L64" s="16">
        <v>0</v>
      </c>
      <c r="M64" s="10">
        <f t="shared" si="0"/>
        <v>11.22</v>
      </c>
      <c r="N64" s="10">
        <f t="shared" si="1"/>
        <v>12.72</v>
      </c>
      <c r="P64" s="16">
        <v>11</v>
      </c>
      <c r="Q64" s="17">
        <v>51.5</v>
      </c>
      <c r="R64" s="9">
        <v>45</v>
      </c>
      <c r="S64" s="9">
        <v>52.5</v>
      </c>
    </row>
    <row r="65" ht="17" customHeight="1" spans="1:19">
      <c r="A65" s="14" t="s">
        <v>177</v>
      </c>
      <c r="B65" s="10" t="s">
        <v>173</v>
      </c>
      <c r="C65" s="10">
        <v>4202129000</v>
      </c>
      <c r="D65" s="15" t="s">
        <v>178</v>
      </c>
      <c r="E65" s="29" t="s">
        <v>48</v>
      </c>
      <c r="F65" s="29" t="s">
        <v>49</v>
      </c>
      <c r="G65" s="29" t="s">
        <v>48</v>
      </c>
      <c r="H65" s="14" t="s">
        <v>177</v>
      </c>
      <c r="I65" s="18">
        <v>1</v>
      </c>
      <c r="J65" s="10" t="s">
        <v>50</v>
      </c>
      <c r="K65" s="10" t="s">
        <v>50</v>
      </c>
      <c r="L65" s="16" t="s">
        <v>50</v>
      </c>
      <c r="M65" s="10" t="e">
        <f t="shared" si="0"/>
        <v>#VALUE!</v>
      </c>
      <c r="N65" s="10" t="e">
        <f t="shared" si="1"/>
        <v>#VALUE!</v>
      </c>
      <c r="P65" s="16" t="s">
        <v>50</v>
      </c>
      <c r="Q65" s="17" t="s">
        <v>50</v>
      </c>
      <c r="R65" s="9" t="s">
        <v>50</v>
      </c>
      <c r="S65" s="9" t="s">
        <v>50</v>
      </c>
    </row>
    <row r="66" ht="17" customHeight="1" spans="1:19">
      <c r="A66" s="14" t="s">
        <v>179</v>
      </c>
      <c r="B66" s="10" t="s">
        <v>173</v>
      </c>
      <c r="C66" s="10">
        <v>4202129000</v>
      </c>
      <c r="D66" s="15" t="s">
        <v>180</v>
      </c>
      <c r="E66" s="29" t="s">
        <v>48</v>
      </c>
      <c r="F66" s="29" t="s">
        <v>49</v>
      </c>
      <c r="G66" s="29" t="s">
        <v>48</v>
      </c>
      <c r="H66" s="14" t="s">
        <v>179</v>
      </c>
      <c r="I66" s="18">
        <v>1</v>
      </c>
      <c r="J66" s="10" t="s">
        <v>50</v>
      </c>
      <c r="K66" s="10" t="s">
        <v>50</v>
      </c>
      <c r="L66" s="16" t="s">
        <v>50</v>
      </c>
      <c r="M66" s="10" t="e">
        <f t="shared" ref="M66:M129" si="2">J66*K66</f>
        <v>#VALUE!</v>
      </c>
      <c r="N66" s="10" t="e">
        <f t="shared" ref="N66:N129" si="3">M66+J66*L66+1.5</f>
        <v>#VALUE!</v>
      </c>
      <c r="P66" s="16" t="s">
        <v>50</v>
      </c>
      <c r="Q66" s="17" t="s">
        <v>50</v>
      </c>
      <c r="R66" s="9" t="s">
        <v>50</v>
      </c>
      <c r="S66" s="9" t="s">
        <v>50</v>
      </c>
    </row>
    <row r="67" ht="17" customHeight="1" spans="1:19">
      <c r="A67" s="14" t="s">
        <v>181</v>
      </c>
      <c r="B67" s="10" t="s">
        <v>173</v>
      </c>
      <c r="C67" s="10">
        <v>4202129000</v>
      </c>
      <c r="D67" s="15" t="s">
        <v>182</v>
      </c>
      <c r="E67" s="29" t="s">
        <v>48</v>
      </c>
      <c r="F67" s="29" t="s">
        <v>49</v>
      </c>
      <c r="G67" s="29" t="s">
        <v>48</v>
      </c>
      <c r="H67" s="14" t="s">
        <v>181</v>
      </c>
      <c r="I67" s="18">
        <v>1</v>
      </c>
      <c r="J67" s="10">
        <v>66</v>
      </c>
      <c r="K67" s="10">
        <v>0.17</v>
      </c>
      <c r="L67" s="16">
        <v>0</v>
      </c>
      <c r="M67" s="10">
        <f t="shared" si="2"/>
        <v>11.22</v>
      </c>
      <c r="N67" s="10">
        <f t="shared" si="3"/>
        <v>12.72</v>
      </c>
      <c r="P67" s="16">
        <v>11</v>
      </c>
      <c r="Q67" s="17">
        <v>51.5</v>
      </c>
      <c r="R67" s="9">
        <v>45</v>
      </c>
      <c r="S67" s="9">
        <v>52.5</v>
      </c>
    </row>
    <row r="68" ht="17" customHeight="1" spans="1:19">
      <c r="A68" s="14" t="s">
        <v>183</v>
      </c>
      <c r="B68" s="10" t="s">
        <v>173</v>
      </c>
      <c r="C68" s="10">
        <v>4202129000</v>
      </c>
      <c r="D68" s="15" t="s">
        <v>184</v>
      </c>
      <c r="E68" s="29" t="s">
        <v>48</v>
      </c>
      <c r="F68" s="29" t="s">
        <v>49</v>
      </c>
      <c r="G68" s="29" t="s">
        <v>48</v>
      </c>
      <c r="H68" s="14" t="s">
        <v>183</v>
      </c>
      <c r="I68" s="18">
        <v>1</v>
      </c>
      <c r="J68" s="10">
        <v>66</v>
      </c>
      <c r="K68" s="10">
        <v>0.17</v>
      </c>
      <c r="L68" s="16">
        <v>0</v>
      </c>
      <c r="M68" s="10">
        <f t="shared" si="2"/>
        <v>11.22</v>
      </c>
      <c r="N68" s="10">
        <f t="shared" si="3"/>
        <v>12.72</v>
      </c>
      <c r="P68" s="16">
        <v>11</v>
      </c>
      <c r="Q68" s="17">
        <v>51.5</v>
      </c>
      <c r="R68" s="9">
        <v>45</v>
      </c>
      <c r="S68" s="9">
        <v>52.5</v>
      </c>
    </row>
    <row r="69" ht="17" customHeight="1" spans="1:19">
      <c r="A69" s="14" t="s">
        <v>185</v>
      </c>
      <c r="B69" s="10" t="s">
        <v>173</v>
      </c>
      <c r="C69" s="10">
        <v>4202129000</v>
      </c>
      <c r="D69" s="15" t="s">
        <v>186</v>
      </c>
      <c r="E69" s="29" t="s">
        <v>48</v>
      </c>
      <c r="F69" s="29" t="s">
        <v>49</v>
      </c>
      <c r="G69" s="29" t="s">
        <v>48</v>
      </c>
      <c r="H69" s="14" t="s">
        <v>185</v>
      </c>
      <c r="I69" s="18">
        <v>1</v>
      </c>
      <c r="J69" s="10">
        <v>66</v>
      </c>
      <c r="K69" s="10">
        <v>0.17</v>
      </c>
      <c r="L69" s="16">
        <v>0</v>
      </c>
      <c r="M69" s="10">
        <f t="shared" si="2"/>
        <v>11.22</v>
      </c>
      <c r="N69" s="10">
        <f t="shared" si="3"/>
        <v>12.72</v>
      </c>
      <c r="P69" s="16">
        <v>11</v>
      </c>
      <c r="Q69" s="17">
        <v>51.5</v>
      </c>
      <c r="R69" s="9">
        <v>45</v>
      </c>
      <c r="S69" s="9">
        <v>52.5</v>
      </c>
    </row>
    <row r="70" ht="17" customHeight="1" spans="1:19">
      <c r="A70" s="14" t="s">
        <v>187</v>
      </c>
      <c r="B70" s="10" t="s">
        <v>173</v>
      </c>
      <c r="C70" s="10">
        <v>4202129000</v>
      </c>
      <c r="D70" s="15" t="s">
        <v>188</v>
      </c>
      <c r="E70" s="29" t="s">
        <v>48</v>
      </c>
      <c r="F70" s="29" t="s">
        <v>49</v>
      </c>
      <c r="G70" s="29" t="s">
        <v>48</v>
      </c>
      <c r="H70" s="14" t="s">
        <v>187</v>
      </c>
      <c r="I70" s="18">
        <v>1</v>
      </c>
      <c r="J70" s="10">
        <v>66</v>
      </c>
      <c r="K70" s="10">
        <v>0.17</v>
      </c>
      <c r="L70" s="16">
        <v>0</v>
      </c>
      <c r="M70" s="10">
        <f t="shared" si="2"/>
        <v>11.22</v>
      </c>
      <c r="N70" s="10">
        <f t="shared" si="3"/>
        <v>12.72</v>
      </c>
      <c r="P70" s="16">
        <v>11</v>
      </c>
      <c r="Q70" s="17">
        <v>51.5</v>
      </c>
      <c r="R70" s="9">
        <v>45</v>
      </c>
      <c r="S70" s="9">
        <v>52.5</v>
      </c>
    </row>
    <row r="71" ht="17" customHeight="1" spans="1:19">
      <c r="A71" s="14" t="s">
        <v>189</v>
      </c>
      <c r="B71" s="10" t="s">
        <v>173</v>
      </c>
      <c r="C71" s="10">
        <v>4202129000</v>
      </c>
      <c r="D71" s="15" t="s">
        <v>190</v>
      </c>
      <c r="E71" s="29" t="s">
        <v>48</v>
      </c>
      <c r="F71" s="29" t="s">
        <v>49</v>
      </c>
      <c r="G71" s="29" t="s">
        <v>48</v>
      </c>
      <c r="H71" s="14" t="s">
        <v>189</v>
      </c>
      <c r="I71" s="18">
        <v>1</v>
      </c>
      <c r="J71" s="10" t="s">
        <v>50</v>
      </c>
      <c r="K71" s="10" t="s">
        <v>50</v>
      </c>
      <c r="L71" s="16" t="s">
        <v>50</v>
      </c>
      <c r="M71" s="10" t="e">
        <f t="shared" si="2"/>
        <v>#VALUE!</v>
      </c>
      <c r="N71" s="10" t="e">
        <f t="shared" si="3"/>
        <v>#VALUE!</v>
      </c>
      <c r="P71" s="16" t="s">
        <v>50</v>
      </c>
      <c r="Q71" s="17" t="s">
        <v>50</v>
      </c>
      <c r="R71" s="9" t="s">
        <v>50</v>
      </c>
      <c r="S71" s="9" t="s">
        <v>50</v>
      </c>
    </row>
    <row r="72" ht="17" customHeight="1" spans="1:19">
      <c r="A72" s="14" t="s">
        <v>191</v>
      </c>
      <c r="B72" s="10" t="s">
        <v>173</v>
      </c>
      <c r="C72" s="10">
        <v>4202129000</v>
      </c>
      <c r="D72" s="15" t="s">
        <v>192</v>
      </c>
      <c r="E72" s="29" t="s">
        <v>48</v>
      </c>
      <c r="F72" s="29" t="s">
        <v>49</v>
      </c>
      <c r="G72" s="29" t="s">
        <v>48</v>
      </c>
      <c r="H72" s="14" t="s">
        <v>191</v>
      </c>
      <c r="I72" s="18">
        <v>1</v>
      </c>
      <c r="J72" s="10" t="s">
        <v>50</v>
      </c>
      <c r="K72" s="10" t="s">
        <v>50</v>
      </c>
      <c r="L72" s="16" t="s">
        <v>50</v>
      </c>
      <c r="M72" s="10" t="e">
        <f t="shared" si="2"/>
        <v>#VALUE!</v>
      </c>
      <c r="N72" s="10" t="e">
        <f t="shared" si="3"/>
        <v>#VALUE!</v>
      </c>
      <c r="P72" s="16" t="s">
        <v>50</v>
      </c>
      <c r="Q72" s="17" t="s">
        <v>50</v>
      </c>
      <c r="R72" s="9" t="s">
        <v>50</v>
      </c>
      <c r="S72" s="9" t="s">
        <v>50</v>
      </c>
    </row>
    <row r="73" ht="17" customHeight="1" spans="1:19">
      <c r="A73" s="14" t="s">
        <v>193</v>
      </c>
      <c r="B73" s="10" t="s">
        <v>173</v>
      </c>
      <c r="C73" s="10">
        <v>4202129000</v>
      </c>
      <c r="D73" s="15" t="s">
        <v>194</v>
      </c>
      <c r="E73" s="29" t="s">
        <v>48</v>
      </c>
      <c r="F73" s="29" t="s">
        <v>49</v>
      </c>
      <c r="G73" s="29" t="s">
        <v>48</v>
      </c>
      <c r="H73" s="14" t="s">
        <v>193</v>
      </c>
      <c r="I73" s="18">
        <v>1</v>
      </c>
      <c r="J73" s="10" t="s">
        <v>50</v>
      </c>
      <c r="K73" s="10" t="s">
        <v>50</v>
      </c>
      <c r="L73" s="16" t="s">
        <v>50</v>
      </c>
      <c r="M73" s="10" t="e">
        <f t="shared" si="2"/>
        <v>#VALUE!</v>
      </c>
      <c r="N73" s="10" t="e">
        <f t="shared" si="3"/>
        <v>#VALUE!</v>
      </c>
      <c r="P73" s="16" t="s">
        <v>50</v>
      </c>
      <c r="Q73" s="17" t="s">
        <v>50</v>
      </c>
      <c r="R73" s="9" t="s">
        <v>50</v>
      </c>
      <c r="S73" s="9" t="s">
        <v>50</v>
      </c>
    </row>
    <row r="74" ht="17" customHeight="1" spans="1:19">
      <c r="A74" s="14" t="s">
        <v>195</v>
      </c>
      <c r="B74" s="10" t="s">
        <v>173</v>
      </c>
      <c r="C74" s="10">
        <v>4202129000</v>
      </c>
      <c r="D74" s="15" t="s">
        <v>196</v>
      </c>
      <c r="E74" s="29" t="s">
        <v>48</v>
      </c>
      <c r="F74" s="29" t="s">
        <v>49</v>
      </c>
      <c r="G74" s="29" t="s">
        <v>48</v>
      </c>
      <c r="H74" s="14" t="s">
        <v>195</v>
      </c>
      <c r="I74" s="10">
        <v>1</v>
      </c>
      <c r="J74" s="10" t="s">
        <v>50</v>
      </c>
      <c r="K74" s="10" t="s">
        <v>50</v>
      </c>
      <c r="L74" s="16" t="s">
        <v>50</v>
      </c>
      <c r="M74" s="10" t="e">
        <f t="shared" si="2"/>
        <v>#VALUE!</v>
      </c>
      <c r="N74" s="10" t="e">
        <f t="shared" si="3"/>
        <v>#VALUE!</v>
      </c>
      <c r="P74" s="16" t="s">
        <v>50</v>
      </c>
      <c r="Q74" s="17" t="s">
        <v>50</v>
      </c>
      <c r="R74" s="9" t="s">
        <v>50</v>
      </c>
      <c r="S74" s="9" t="s">
        <v>50</v>
      </c>
    </row>
    <row r="75" ht="17" customHeight="1" spans="1:19">
      <c r="A75" s="14" t="s">
        <v>197</v>
      </c>
      <c r="B75" s="10" t="s">
        <v>173</v>
      </c>
      <c r="C75" s="10">
        <v>4202129000</v>
      </c>
      <c r="D75" s="15" t="s">
        <v>198</v>
      </c>
      <c r="E75" s="29" t="s">
        <v>48</v>
      </c>
      <c r="F75" s="29" t="s">
        <v>49</v>
      </c>
      <c r="G75" s="29" t="s">
        <v>48</v>
      </c>
      <c r="H75" s="14" t="s">
        <v>197</v>
      </c>
      <c r="I75" s="18">
        <v>1</v>
      </c>
      <c r="J75" s="10" t="s">
        <v>50</v>
      </c>
      <c r="K75" s="10" t="s">
        <v>50</v>
      </c>
      <c r="L75" s="16" t="s">
        <v>50</v>
      </c>
      <c r="M75" s="10" t="e">
        <f t="shared" si="2"/>
        <v>#VALUE!</v>
      </c>
      <c r="N75" s="10" t="e">
        <f t="shared" si="3"/>
        <v>#VALUE!</v>
      </c>
      <c r="P75" s="16" t="s">
        <v>50</v>
      </c>
      <c r="Q75" s="17" t="s">
        <v>50</v>
      </c>
      <c r="R75" s="9" t="s">
        <v>50</v>
      </c>
      <c r="S75" s="9" t="s">
        <v>50</v>
      </c>
    </row>
    <row r="76" ht="17" customHeight="1" spans="1:19">
      <c r="A76" s="14" t="s">
        <v>199</v>
      </c>
      <c r="B76" s="10" t="s">
        <v>173</v>
      </c>
      <c r="C76" s="10">
        <v>4202129000</v>
      </c>
      <c r="D76" s="15" t="s">
        <v>200</v>
      </c>
      <c r="E76" s="29" t="s">
        <v>48</v>
      </c>
      <c r="F76" s="29" t="s">
        <v>49</v>
      </c>
      <c r="G76" s="29" t="s">
        <v>48</v>
      </c>
      <c r="H76" s="14" t="s">
        <v>199</v>
      </c>
      <c r="I76" s="10">
        <v>1</v>
      </c>
      <c r="J76" s="10" t="s">
        <v>50</v>
      </c>
      <c r="K76" s="10" t="s">
        <v>50</v>
      </c>
      <c r="L76" s="16" t="s">
        <v>50</v>
      </c>
      <c r="M76" s="10" t="e">
        <f t="shared" si="2"/>
        <v>#VALUE!</v>
      </c>
      <c r="N76" s="10" t="e">
        <f t="shared" si="3"/>
        <v>#VALUE!</v>
      </c>
      <c r="P76" s="16" t="s">
        <v>50</v>
      </c>
      <c r="Q76" s="17" t="s">
        <v>50</v>
      </c>
      <c r="R76" s="9" t="s">
        <v>50</v>
      </c>
      <c r="S76" s="9" t="s">
        <v>50</v>
      </c>
    </row>
    <row r="77" ht="17" customHeight="1" spans="1:19">
      <c r="A77" s="14" t="s">
        <v>201</v>
      </c>
      <c r="B77" s="10" t="s">
        <v>202</v>
      </c>
      <c r="C77" s="10">
        <v>4202129000</v>
      </c>
      <c r="D77" s="15" t="s">
        <v>203</v>
      </c>
      <c r="E77" s="29" t="s">
        <v>48</v>
      </c>
      <c r="F77" s="29" t="s">
        <v>49</v>
      </c>
      <c r="G77" s="29" t="s">
        <v>48</v>
      </c>
      <c r="H77" s="14" t="s">
        <v>201</v>
      </c>
      <c r="I77" s="18">
        <v>1</v>
      </c>
      <c r="J77" s="10" t="s">
        <v>50</v>
      </c>
      <c r="K77" s="10" t="s">
        <v>50</v>
      </c>
      <c r="L77" s="16" t="s">
        <v>50</v>
      </c>
      <c r="M77" s="10" t="e">
        <f t="shared" si="2"/>
        <v>#VALUE!</v>
      </c>
      <c r="N77" s="10" t="e">
        <f t="shared" si="3"/>
        <v>#VALUE!</v>
      </c>
      <c r="P77" s="16" t="s">
        <v>50</v>
      </c>
      <c r="Q77" s="17" t="s">
        <v>50</v>
      </c>
      <c r="R77" s="9" t="s">
        <v>50</v>
      </c>
      <c r="S77" s="9" t="s">
        <v>50</v>
      </c>
    </row>
    <row r="78" ht="17" customHeight="1" spans="1:19">
      <c r="A78" s="14" t="s">
        <v>204</v>
      </c>
      <c r="B78" s="10" t="s">
        <v>202</v>
      </c>
      <c r="C78" s="10">
        <v>4202129000</v>
      </c>
      <c r="D78" s="15" t="s">
        <v>205</v>
      </c>
      <c r="E78" s="29" t="s">
        <v>48</v>
      </c>
      <c r="F78" s="29" t="s">
        <v>49</v>
      </c>
      <c r="G78" s="29" t="s">
        <v>48</v>
      </c>
      <c r="H78" s="14" t="s">
        <v>204</v>
      </c>
      <c r="I78" s="10">
        <v>1</v>
      </c>
      <c r="J78" s="10" t="s">
        <v>50</v>
      </c>
      <c r="K78" s="10" t="s">
        <v>50</v>
      </c>
      <c r="L78" s="16" t="s">
        <v>50</v>
      </c>
      <c r="M78" s="10" t="e">
        <f t="shared" si="2"/>
        <v>#VALUE!</v>
      </c>
      <c r="N78" s="10" t="e">
        <f t="shared" si="3"/>
        <v>#VALUE!</v>
      </c>
      <c r="P78" s="16" t="s">
        <v>50</v>
      </c>
      <c r="Q78" s="17" t="s">
        <v>50</v>
      </c>
      <c r="R78" s="9" t="s">
        <v>50</v>
      </c>
      <c r="S78" s="9" t="s">
        <v>50</v>
      </c>
    </row>
    <row r="79" ht="17" customHeight="1" spans="1:19">
      <c r="A79" s="14" t="s">
        <v>206</v>
      </c>
      <c r="B79" s="10" t="s">
        <v>46</v>
      </c>
      <c r="C79" s="10">
        <v>4202920000</v>
      </c>
      <c r="D79" s="15" t="s">
        <v>207</v>
      </c>
      <c r="E79" s="29" t="s">
        <v>48</v>
      </c>
      <c r="F79" s="29" t="s">
        <v>49</v>
      </c>
      <c r="G79" s="29" t="s">
        <v>48</v>
      </c>
      <c r="H79" s="14" t="s">
        <v>206</v>
      </c>
      <c r="I79" s="18">
        <v>1</v>
      </c>
      <c r="J79" s="10" t="s">
        <v>50</v>
      </c>
      <c r="K79" s="10" t="s">
        <v>50</v>
      </c>
      <c r="L79" s="16" t="s">
        <v>50</v>
      </c>
      <c r="M79" s="10" t="e">
        <f t="shared" si="2"/>
        <v>#VALUE!</v>
      </c>
      <c r="N79" s="10" t="e">
        <f t="shared" si="3"/>
        <v>#VALUE!</v>
      </c>
      <c r="P79" s="16" t="s">
        <v>50</v>
      </c>
      <c r="Q79" s="17" t="s">
        <v>50</v>
      </c>
      <c r="R79" s="9" t="s">
        <v>50</v>
      </c>
      <c r="S79" s="9" t="s">
        <v>50</v>
      </c>
    </row>
    <row r="80" ht="17" customHeight="1" spans="1:19">
      <c r="A80" s="14" t="s">
        <v>208</v>
      </c>
      <c r="B80" s="10" t="s">
        <v>46</v>
      </c>
      <c r="C80" s="10">
        <v>4202920000</v>
      </c>
      <c r="D80" s="15" t="s">
        <v>209</v>
      </c>
      <c r="E80" s="29" t="s">
        <v>48</v>
      </c>
      <c r="F80" s="29" t="s">
        <v>49</v>
      </c>
      <c r="G80" s="29" t="s">
        <v>48</v>
      </c>
      <c r="H80" s="14" t="s">
        <v>208</v>
      </c>
      <c r="I80" s="18">
        <v>1</v>
      </c>
      <c r="J80" s="10" t="s">
        <v>50</v>
      </c>
      <c r="K80" s="10" t="s">
        <v>50</v>
      </c>
      <c r="L80" s="16" t="s">
        <v>50</v>
      </c>
      <c r="M80" s="10" t="e">
        <f t="shared" si="2"/>
        <v>#VALUE!</v>
      </c>
      <c r="N80" s="10" t="e">
        <f t="shared" si="3"/>
        <v>#VALUE!</v>
      </c>
      <c r="P80" s="16" t="s">
        <v>50</v>
      </c>
      <c r="Q80" s="17" t="s">
        <v>50</v>
      </c>
      <c r="R80" s="9" t="s">
        <v>50</v>
      </c>
      <c r="S80" s="9" t="s">
        <v>50</v>
      </c>
    </row>
    <row r="81" ht="17" customHeight="1" spans="1:19">
      <c r="A81" s="14" t="s">
        <v>210</v>
      </c>
      <c r="B81" s="10" t="s">
        <v>46</v>
      </c>
      <c r="C81" s="10">
        <v>4202920000</v>
      </c>
      <c r="D81" s="15" t="s">
        <v>211</v>
      </c>
      <c r="E81" s="29" t="s">
        <v>48</v>
      </c>
      <c r="F81" s="29" t="s">
        <v>49</v>
      </c>
      <c r="G81" s="29" t="s">
        <v>48</v>
      </c>
      <c r="H81" s="14" t="s">
        <v>210</v>
      </c>
      <c r="I81" s="18">
        <v>1</v>
      </c>
      <c r="J81" s="10" t="s">
        <v>50</v>
      </c>
      <c r="K81" s="10" t="s">
        <v>50</v>
      </c>
      <c r="L81" s="16" t="s">
        <v>50</v>
      </c>
      <c r="M81" s="10" t="e">
        <f t="shared" si="2"/>
        <v>#VALUE!</v>
      </c>
      <c r="N81" s="10" t="e">
        <f t="shared" si="3"/>
        <v>#VALUE!</v>
      </c>
      <c r="P81" s="16" t="s">
        <v>50</v>
      </c>
      <c r="Q81" s="17" t="s">
        <v>50</v>
      </c>
      <c r="R81" s="9" t="s">
        <v>50</v>
      </c>
      <c r="S81" s="9" t="s">
        <v>50</v>
      </c>
    </row>
    <row r="82" ht="17" customHeight="1" spans="1:19">
      <c r="A82" s="14" t="s">
        <v>212</v>
      </c>
      <c r="B82" s="10" t="s">
        <v>46</v>
      </c>
      <c r="C82" s="10">
        <v>4202920000</v>
      </c>
      <c r="D82" s="15" t="s">
        <v>213</v>
      </c>
      <c r="E82" s="29" t="s">
        <v>48</v>
      </c>
      <c r="F82" s="29" t="s">
        <v>49</v>
      </c>
      <c r="G82" s="29" t="s">
        <v>48</v>
      </c>
      <c r="H82" s="14" t="s">
        <v>212</v>
      </c>
      <c r="I82" s="18">
        <v>1</v>
      </c>
      <c r="J82" s="10" t="s">
        <v>50</v>
      </c>
      <c r="K82" s="10" t="s">
        <v>50</v>
      </c>
      <c r="L82" s="16" t="s">
        <v>50</v>
      </c>
      <c r="M82" s="10" t="e">
        <f t="shared" si="2"/>
        <v>#VALUE!</v>
      </c>
      <c r="N82" s="10" t="e">
        <f t="shared" si="3"/>
        <v>#VALUE!</v>
      </c>
      <c r="P82" s="16" t="s">
        <v>50</v>
      </c>
      <c r="Q82" s="17" t="s">
        <v>50</v>
      </c>
      <c r="R82" s="9" t="s">
        <v>50</v>
      </c>
      <c r="S82" s="9" t="s">
        <v>50</v>
      </c>
    </row>
    <row r="83" ht="17" customHeight="1" spans="1:19">
      <c r="A83" s="14" t="s">
        <v>214</v>
      </c>
      <c r="B83" s="10" t="s">
        <v>46</v>
      </c>
      <c r="C83" s="10">
        <v>4202920000</v>
      </c>
      <c r="D83" s="15" t="s">
        <v>215</v>
      </c>
      <c r="E83" s="29" t="s">
        <v>48</v>
      </c>
      <c r="F83" s="29" t="s">
        <v>49</v>
      </c>
      <c r="G83" s="29" t="s">
        <v>48</v>
      </c>
      <c r="H83" s="14" t="s">
        <v>214</v>
      </c>
      <c r="I83" s="18">
        <v>1</v>
      </c>
      <c r="J83" s="10" t="s">
        <v>50</v>
      </c>
      <c r="K83" s="10" t="s">
        <v>50</v>
      </c>
      <c r="L83" s="16" t="s">
        <v>50</v>
      </c>
      <c r="M83" s="10" t="e">
        <f t="shared" si="2"/>
        <v>#VALUE!</v>
      </c>
      <c r="N83" s="10" t="e">
        <f t="shared" si="3"/>
        <v>#VALUE!</v>
      </c>
      <c r="P83" s="16" t="s">
        <v>50</v>
      </c>
      <c r="Q83" s="17" t="s">
        <v>50</v>
      </c>
      <c r="R83" s="9" t="s">
        <v>50</v>
      </c>
      <c r="S83" s="9" t="s">
        <v>50</v>
      </c>
    </row>
    <row r="84" ht="17" customHeight="1" spans="1:19">
      <c r="A84" s="14" t="s">
        <v>216</v>
      </c>
      <c r="B84" s="10" t="s">
        <v>46</v>
      </c>
      <c r="C84" s="10">
        <v>4202920000</v>
      </c>
      <c r="D84" s="15" t="s">
        <v>217</v>
      </c>
      <c r="E84" s="29" t="s">
        <v>48</v>
      </c>
      <c r="F84" s="29" t="s">
        <v>49</v>
      </c>
      <c r="G84" s="29" t="s">
        <v>48</v>
      </c>
      <c r="H84" s="14" t="s">
        <v>216</v>
      </c>
      <c r="I84" s="18">
        <v>1</v>
      </c>
      <c r="J84" s="10" t="s">
        <v>50</v>
      </c>
      <c r="K84" s="10" t="s">
        <v>50</v>
      </c>
      <c r="L84" s="16" t="s">
        <v>50</v>
      </c>
      <c r="M84" s="10" t="e">
        <f t="shared" si="2"/>
        <v>#VALUE!</v>
      </c>
      <c r="N84" s="10" t="e">
        <f t="shared" si="3"/>
        <v>#VALUE!</v>
      </c>
      <c r="P84" s="16" t="s">
        <v>50</v>
      </c>
      <c r="Q84" s="17" t="s">
        <v>50</v>
      </c>
      <c r="R84" s="9" t="s">
        <v>50</v>
      </c>
      <c r="S84" s="9" t="s">
        <v>50</v>
      </c>
    </row>
    <row r="85" ht="17" customHeight="1" spans="1:19">
      <c r="A85" s="14" t="s">
        <v>218</v>
      </c>
      <c r="B85" s="10" t="s">
        <v>46</v>
      </c>
      <c r="C85" s="10">
        <v>4202920000</v>
      </c>
      <c r="D85" s="15" t="s">
        <v>219</v>
      </c>
      <c r="E85" s="29" t="s">
        <v>48</v>
      </c>
      <c r="F85" s="29" t="s">
        <v>49</v>
      </c>
      <c r="G85" s="29" t="s">
        <v>48</v>
      </c>
      <c r="H85" s="14" t="s">
        <v>218</v>
      </c>
      <c r="I85" s="18">
        <v>1</v>
      </c>
      <c r="J85" s="10" t="s">
        <v>50</v>
      </c>
      <c r="K85" s="10" t="s">
        <v>50</v>
      </c>
      <c r="L85" s="16" t="s">
        <v>50</v>
      </c>
      <c r="M85" s="10" t="e">
        <f t="shared" si="2"/>
        <v>#VALUE!</v>
      </c>
      <c r="N85" s="10" t="e">
        <f t="shared" si="3"/>
        <v>#VALUE!</v>
      </c>
      <c r="P85" s="16" t="s">
        <v>50</v>
      </c>
      <c r="Q85" s="17" t="s">
        <v>50</v>
      </c>
      <c r="R85" s="9" t="s">
        <v>50</v>
      </c>
      <c r="S85" s="9" t="s">
        <v>50</v>
      </c>
    </row>
    <row r="86" ht="17" customHeight="1" spans="1:19">
      <c r="A86" s="14" t="s">
        <v>220</v>
      </c>
      <c r="B86" s="10" t="s">
        <v>46</v>
      </c>
      <c r="C86" s="10">
        <v>4202920000</v>
      </c>
      <c r="D86" s="15" t="s">
        <v>221</v>
      </c>
      <c r="E86" s="29" t="s">
        <v>48</v>
      </c>
      <c r="F86" s="29" t="s">
        <v>49</v>
      </c>
      <c r="G86" s="29" t="s">
        <v>48</v>
      </c>
      <c r="H86" s="14" t="s">
        <v>220</v>
      </c>
      <c r="I86" s="18">
        <v>1</v>
      </c>
      <c r="J86" s="10" t="s">
        <v>50</v>
      </c>
      <c r="K86" s="10" t="s">
        <v>50</v>
      </c>
      <c r="L86" s="16" t="s">
        <v>50</v>
      </c>
      <c r="M86" s="10" t="e">
        <f t="shared" si="2"/>
        <v>#VALUE!</v>
      </c>
      <c r="N86" s="10" t="e">
        <f t="shared" si="3"/>
        <v>#VALUE!</v>
      </c>
      <c r="P86" s="16" t="s">
        <v>50</v>
      </c>
      <c r="Q86" s="17" t="s">
        <v>50</v>
      </c>
      <c r="R86" s="9" t="s">
        <v>50</v>
      </c>
      <c r="S86" s="9" t="s">
        <v>50</v>
      </c>
    </row>
    <row r="87" ht="17" customHeight="1" spans="1:19">
      <c r="A87" s="14" t="s">
        <v>222</v>
      </c>
      <c r="B87" s="10" t="s">
        <v>46</v>
      </c>
      <c r="C87" s="10">
        <v>4202920000</v>
      </c>
      <c r="D87" s="15" t="s">
        <v>223</v>
      </c>
      <c r="E87" s="29" t="s">
        <v>48</v>
      </c>
      <c r="F87" s="29" t="s">
        <v>49</v>
      </c>
      <c r="G87" s="29" t="s">
        <v>48</v>
      </c>
      <c r="H87" s="14" t="s">
        <v>222</v>
      </c>
      <c r="I87" s="18">
        <v>1</v>
      </c>
      <c r="J87" s="10" t="s">
        <v>50</v>
      </c>
      <c r="K87" s="10" t="s">
        <v>50</v>
      </c>
      <c r="L87" s="16" t="s">
        <v>50</v>
      </c>
      <c r="M87" s="10" t="e">
        <f t="shared" si="2"/>
        <v>#VALUE!</v>
      </c>
      <c r="N87" s="10" t="e">
        <f t="shared" si="3"/>
        <v>#VALUE!</v>
      </c>
      <c r="P87" s="16" t="s">
        <v>50</v>
      </c>
      <c r="Q87" s="17" t="s">
        <v>50</v>
      </c>
      <c r="R87" s="9" t="s">
        <v>50</v>
      </c>
      <c r="S87" s="9" t="s">
        <v>50</v>
      </c>
    </row>
    <row r="88" ht="17" customHeight="1" spans="1:19">
      <c r="A88" s="14" t="s">
        <v>224</v>
      </c>
      <c r="B88" s="10" t="s">
        <v>46</v>
      </c>
      <c r="C88" s="10">
        <v>4202920000</v>
      </c>
      <c r="D88" s="15" t="s">
        <v>225</v>
      </c>
      <c r="E88" s="29" t="s">
        <v>48</v>
      </c>
      <c r="F88" s="29" t="s">
        <v>49</v>
      </c>
      <c r="G88" s="29" t="s">
        <v>48</v>
      </c>
      <c r="H88" s="14" t="s">
        <v>224</v>
      </c>
      <c r="I88" s="18">
        <v>1</v>
      </c>
      <c r="J88" s="10">
        <v>48</v>
      </c>
      <c r="K88" s="10">
        <v>0.16</v>
      </c>
      <c r="L88" s="16">
        <v>0</v>
      </c>
      <c r="M88" s="10">
        <f t="shared" si="2"/>
        <v>7.68</v>
      </c>
      <c r="N88" s="10">
        <f t="shared" si="3"/>
        <v>9.18</v>
      </c>
      <c r="P88" s="16">
        <v>14</v>
      </c>
      <c r="Q88" s="17">
        <v>42</v>
      </c>
      <c r="R88" s="9">
        <v>42</v>
      </c>
      <c r="S88" s="9">
        <v>60</v>
      </c>
    </row>
    <row r="89" ht="17" customHeight="1" spans="1:19">
      <c r="A89" s="14" t="s">
        <v>226</v>
      </c>
      <c r="B89" s="10" t="s">
        <v>46</v>
      </c>
      <c r="C89" s="10">
        <v>4202920000</v>
      </c>
      <c r="D89" s="15" t="s">
        <v>227</v>
      </c>
      <c r="E89" s="29" t="s">
        <v>48</v>
      </c>
      <c r="F89" s="29" t="s">
        <v>49</v>
      </c>
      <c r="G89" s="29" t="s">
        <v>48</v>
      </c>
      <c r="H89" s="14" t="s">
        <v>226</v>
      </c>
      <c r="I89" s="18">
        <v>1</v>
      </c>
      <c r="J89" s="10" t="s">
        <v>50</v>
      </c>
      <c r="K89" s="10" t="s">
        <v>50</v>
      </c>
      <c r="L89" s="16" t="s">
        <v>50</v>
      </c>
      <c r="M89" s="10" t="e">
        <f t="shared" si="2"/>
        <v>#VALUE!</v>
      </c>
      <c r="N89" s="10" t="e">
        <f t="shared" si="3"/>
        <v>#VALUE!</v>
      </c>
      <c r="P89" s="16" t="s">
        <v>50</v>
      </c>
      <c r="Q89" s="17" t="s">
        <v>50</v>
      </c>
      <c r="R89" s="9" t="s">
        <v>50</v>
      </c>
      <c r="S89" s="9" t="s">
        <v>50</v>
      </c>
    </row>
    <row r="90" ht="17" customHeight="1" spans="1:19">
      <c r="A90" s="14" t="s">
        <v>228</v>
      </c>
      <c r="B90" s="10" t="s">
        <v>46</v>
      </c>
      <c r="C90" s="10">
        <v>4202920000</v>
      </c>
      <c r="D90" s="15" t="s">
        <v>229</v>
      </c>
      <c r="E90" s="29" t="s">
        <v>48</v>
      </c>
      <c r="F90" s="29" t="s">
        <v>49</v>
      </c>
      <c r="G90" s="29" t="s">
        <v>48</v>
      </c>
      <c r="H90" s="14" t="s">
        <v>228</v>
      </c>
      <c r="I90" s="18">
        <v>1</v>
      </c>
      <c r="J90" s="10" t="s">
        <v>50</v>
      </c>
      <c r="K90" s="10" t="s">
        <v>50</v>
      </c>
      <c r="L90" s="16" t="s">
        <v>50</v>
      </c>
      <c r="M90" s="10" t="e">
        <f t="shared" si="2"/>
        <v>#VALUE!</v>
      </c>
      <c r="N90" s="10" t="e">
        <f t="shared" si="3"/>
        <v>#VALUE!</v>
      </c>
      <c r="P90" s="16" t="s">
        <v>50</v>
      </c>
      <c r="Q90" s="17" t="s">
        <v>50</v>
      </c>
      <c r="R90" s="9" t="s">
        <v>50</v>
      </c>
      <c r="S90" s="9" t="s">
        <v>50</v>
      </c>
    </row>
    <row r="91" ht="17" customHeight="1" spans="1:19">
      <c r="A91" s="14" t="s">
        <v>230</v>
      </c>
      <c r="B91" s="10" t="s">
        <v>46</v>
      </c>
      <c r="C91" s="10">
        <v>4202920000</v>
      </c>
      <c r="D91" s="15" t="s">
        <v>231</v>
      </c>
      <c r="E91" s="29" t="s">
        <v>48</v>
      </c>
      <c r="F91" s="29" t="s">
        <v>49</v>
      </c>
      <c r="G91" s="29" t="s">
        <v>48</v>
      </c>
      <c r="H91" s="14" t="s">
        <v>230</v>
      </c>
      <c r="I91" s="18">
        <v>1</v>
      </c>
      <c r="J91" s="10" t="s">
        <v>50</v>
      </c>
      <c r="K91" s="10" t="s">
        <v>50</v>
      </c>
      <c r="L91" s="16" t="s">
        <v>50</v>
      </c>
      <c r="M91" s="10" t="e">
        <f t="shared" si="2"/>
        <v>#VALUE!</v>
      </c>
      <c r="N91" s="10" t="e">
        <f t="shared" si="3"/>
        <v>#VALUE!</v>
      </c>
      <c r="P91" s="16" t="s">
        <v>50</v>
      </c>
      <c r="Q91" s="17" t="s">
        <v>50</v>
      </c>
      <c r="R91" s="9" t="s">
        <v>50</v>
      </c>
      <c r="S91" s="9" t="s">
        <v>50</v>
      </c>
    </row>
    <row r="92" ht="17" customHeight="1" spans="1:19">
      <c r="A92" s="14" t="s">
        <v>232</v>
      </c>
      <c r="B92" s="10" t="s">
        <v>46</v>
      </c>
      <c r="C92" s="10">
        <v>4202920000</v>
      </c>
      <c r="D92" s="15" t="s">
        <v>233</v>
      </c>
      <c r="E92" s="29" t="s">
        <v>48</v>
      </c>
      <c r="F92" s="29" t="s">
        <v>49</v>
      </c>
      <c r="G92" s="29" t="s">
        <v>48</v>
      </c>
      <c r="H92" s="14" t="s">
        <v>232</v>
      </c>
      <c r="I92" s="18">
        <v>1</v>
      </c>
      <c r="J92" s="10" t="s">
        <v>50</v>
      </c>
      <c r="K92" s="10" t="s">
        <v>50</v>
      </c>
      <c r="L92" s="16" t="s">
        <v>50</v>
      </c>
      <c r="M92" s="10" t="e">
        <f t="shared" si="2"/>
        <v>#VALUE!</v>
      </c>
      <c r="N92" s="10" t="e">
        <f t="shared" si="3"/>
        <v>#VALUE!</v>
      </c>
      <c r="P92" s="16" t="s">
        <v>50</v>
      </c>
      <c r="Q92" s="17" t="s">
        <v>50</v>
      </c>
      <c r="R92" s="9" t="s">
        <v>50</v>
      </c>
      <c r="S92" s="9" t="s">
        <v>50</v>
      </c>
    </row>
    <row r="93" ht="17" customHeight="1" spans="1:19">
      <c r="A93" s="14" t="s">
        <v>234</v>
      </c>
      <c r="B93" s="10" t="s">
        <v>46</v>
      </c>
      <c r="C93" s="10">
        <v>4202920000</v>
      </c>
      <c r="D93" s="15" t="s">
        <v>235</v>
      </c>
      <c r="E93" s="29" t="s">
        <v>48</v>
      </c>
      <c r="F93" s="29" t="s">
        <v>49</v>
      </c>
      <c r="G93" s="29" t="s">
        <v>48</v>
      </c>
      <c r="H93" s="14" t="s">
        <v>234</v>
      </c>
      <c r="I93" s="18">
        <v>1</v>
      </c>
      <c r="J93" s="10" t="s">
        <v>50</v>
      </c>
      <c r="K93" s="10" t="s">
        <v>50</v>
      </c>
      <c r="L93" s="16" t="s">
        <v>50</v>
      </c>
      <c r="M93" s="10" t="e">
        <f t="shared" si="2"/>
        <v>#VALUE!</v>
      </c>
      <c r="N93" s="10" t="e">
        <f t="shared" si="3"/>
        <v>#VALUE!</v>
      </c>
      <c r="P93" s="16" t="s">
        <v>50</v>
      </c>
      <c r="Q93" s="17" t="s">
        <v>50</v>
      </c>
      <c r="R93" s="9" t="s">
        <v>50</v>
      </c>
      <c r="S93" s="9" t="s">
        <v>50</v>
      </c>
    </row>
    <row r="94" ht="17" customHeight="1" spans="1:19">
      <c r="A94" s="14" t="s">
        <v>236</v>
      </c>
      <c r="B94" s="10" t="s">
        <v>46</v>
      </c>
      <c r="C94" s="10">
        <v>4202920000</v>
      </c>
      <c r="D94" s="15" t="s">
        <v>237</v>
      </c>
      <c r="E94" s="29" t="s">
        <v>48</v>
      </c>
      <c r="F94" s="29" t="s">
        <v>49</v>
      </c>
      <c r="G94" s="29" t="s">
        <v>48</v>
      </c>
      <c r="H94" s="14" t="s">
        <v>236</v>
      </c>
      <c r="I94" s="18">
        <v>1</v>
      </c>
      <c r="J94" s="10" t="s">
        <v>50</v>
      </c>
      <c r="K94" s="10" t="s">
        <v>50</v>
      </c>
      <c r="L94" s="16" t="s">
        <v>50</v>
      </c>
      <c r="M94" s="10" t="e">
        <f t="shared" si="2"/>
        <v>#VALUE!</v>
      </c>
      <c r="N94" s="10" t="e">
        <f t="shared" si="3"/>
        <v>#VALUE!</v>
      </c>
      <c r="P94" s="16" t="s">
        <v>50</v>
      </c>
      <c r="Q94" s="17" t="s">
        <v>50</v>
      </c>
      <c r="R94" s="9" t="s">
        <v>50</v>
      </c>
      <c r="S94" s="9" t="s">
        <v>50</v>
      </c>
    </row>
    <row r="95" ht="17" customHeight="1" spans="1:19">
      <c r="A95" s="14" t="s">
        <v>238</v>
      </c>
      <c r="B95" s="10" t="s">
        <v>46</v>
      </c>
      <c r="C95" s="10">
        <v>4202920000</v>
      </c>
      <c r="D95" s="15" t="s">
        <v>239</v>
      </c>
      <c r="E95" s="29" t="s">
        <v>48</v>
      </c>
      <c r="F95" s="29" t="s">
        <v>49</v>
      </c>
      <c r="G95" s="29" t="s">
        <v>48</v>
      </c>
      <c r="H95" s="14" t="s">
        <v>238</v>
      </c>
      <c r="I95" s="18">
        <v>1</v>
      </c>
      <c r="J95" s="10">
        <v>48</v>
      </c>
      <c r="K95" s="10">
        <v>0.16</v>
      </c>
      <c r="L95" s="16">
        <v>0</v>
      </c>
      <c r="M95" s="10">
        <f t="shared" si="2"/>
        <v>7.68</v>
      </c>
      <c r="N95" s="10">
        <f t="shared" si="3"/>
        <v>9.18</v>
      </c>
      <c r="P95" s="16">
        <v>14</v>
      </c>
      <c r="Q95" s="17">
        <v>42</v>
      </c>
      <c r="R95" s="9">
        <v>42</v>
      </c>
      <c r="S95" s="9">
        <v>60</v>
      </c>
    </row>
    <row r="96" ht="17" customHeight="1" spans="1:19">
      <c r="A96" s="14" t="s">
        <v>240</v>
      </c>
      <c r="B96" s="10" t="s">
        <v>46</v>
      </c>
      <c r="C96" s="10">
        <v>4202920000</v>
      </c>
      <c r="D96" s="15" t="s">
        <v>241</v>
      </c>
      <c r="E96" s="29" t="s">
        <v>48</v>
      </c>
      <c r="F96" s="29" t="s">
        <v>49</v>
      </c>
      <c r="G96" s="29" t="s">
        <v>48</v>
      </c>
      <c r="H96" s="14" t="s">
        <v>240</v>
      </c>
      <c r="I96" s="18">
        <v>1</v>
      </c>
      <c r="J96" s="10" t="s">
        <v>50</v>
      </c>
      <c r="K96" s="10" t="s">
        <v>50</v>
      </c>
      <c r="L96" s="16" t="s">
        <v>50</v>
      </c>
      <c r="M96" s="10" t="e">
        <f t="shared" si="2"/>
        <v>#VALUE!</v>
      </c>
      <c r="N96" s="10" t="e">
        <f t="shared" si="3"/>
        <v>#VALUE!</v>
      </c>
      <c r="P96" s="16" t="s">
        <v>50</v>
      </c>
      <c r="Q96" s="17" t="s">
        <v>50</v>
      </c>
      <c r="R96" s="9" t="s">
        <v>50</v>
      </c>
      <c r="S96" s="9" t="s">
        <v>50</v>
      </c>
    </row>
    <row r="97" ht="17" customHeight="1" spans="1:19">
      <c r="A97" s="14" t="s">
        <v>242</v>
      </c>
      <c r="B97" s="10" t="s">
        <v>46</v>
      </c>
      <c r="C97" s="10">
        <v>4202920000</v>
      </c>
      <c r="D97" s="15" t="s">
        <v>243</v>
      </c>
      <c r="E97" s="29" t="s">
        <v>48</v>
      </c>
      <c r="F97" s="29" t="s">
        <v>49</v>
      </c>
      <c r="G97" s="29" t="s">
        <v>48</v>
      </c>
      <c r="H97" s="14" t="s">
        <v>242</v>
      </c>
      <c r="I97" s="18">
        <v>1</v>
      </c>
      <c r="J97" s="10" t="s">
        <v>50</v>
      </c>
      <c r="K97" s="10" t="s">
        <v>50</v>
      </c>
      <c r="L97" s="16" t="s">
        <v>50</v>
      </c>
      <c r="M97" s="10" t="e">
        <f t="shared" si="2"/>
        <v>#VALUE!</v>
      </c>
      <c r="N97" s="10" t="e">
        <f t="shared" si="3"/>
        <v>#VALUE!</v>
      </c>
      <c r="P97" s="16" t="s">
        <v>50</v>
      </c>
      <c r="Q97" s="17" t="s">
        <v>50</v>
      </c>
      <c r="R97" s="9" t="s">
        <v>50</v>
      </c>
      <c r="S97" s="9" t="s">
        <v>50</v>
      </c>
    </row>
    <row r="98" ht="17" customHeight="1" spans="1:19">
      <c r="A98" s="14" t="s">
        <v>244</v>
      </c>
      <c r="B98" s="10" t="s">
        <v>173</v>
      </c>
      <c r="C98" s="10">
        <v>4202129000</v>
      </c>
      <c r="D98" s="15" t="s">
        <v>245</v>
      </c>
      <c r="E98" s="29" t="s">
        <v>48</v>
      </c>
      <c r="F98" s="29" t="s">
        <v>49</v>
      </c>
      <c r="G98" s="29" t="s">
        <v>48</v>
      </c>
      <c r="H98" s="14" t="s">
        <v>244</v>
      </c>
      <c r="I98" s="18">
        <v>1</v>
      </c>
      <c r="J98" s="10" t="s">
        <v>50</v>
      </c>
      <c r="K98" s="10" t="s">
        <v>50</v>
      </c>
      <c r="L98" s="16" t="s">
        <v>50</v>
      </c>
      <c r="M98" s="10" t="e">
        <f t="shared" si="2"/>
        <v>#VALUE!</v>
      </c>
      <c r="N98" s="10" t="e">
        <f t="shared" si="3"/>
        <v>#VALUE!</v>
      </c>
      <c r="P98" s="16" t="s">
        <v>50</v>
      </c>
      <c r="Q98" s="17" t="s">
        <v>50</v>
      </c>
      <c r="R98" s="9" t="s">
        <v>50</v>
      </c>
      <c r="S98" s="9" t="s">
        <v>50</v>
      </c>
    </row>
    <row r="99" spans="1:19">
      <c r="A99" s="14" t="s">
        <v>246</v>
      </c>
      <c r="B99" s="10" t="s">
        <v>173</v>
      </c>
      <c r="C99" s="10">
        <v>4202129000</v>
      </c>
      <c r="D99" s="15" t="s">
        <v>245</v>
      </c>
      <c r="E99" s="29" t="s">
        <v>48</v>
      </c>
      <c r="F99" s="29" t="s">
        <v>49</v>
      </c>
      <c r="G99" s="29" t="s">
        <v>48</v>
      </c>
      <c r="H99" s="14" t="s">
        <v>246</v>
      </c>
      <c r="I99" s="18">
        <v>1</v>
      </c>
      <c r="J99" s="10" t="s">
        <v>50</v>
      </c>
      <c r="K99" s="10" t="s">
        <v>50</v>
      </c>
      <c r="L99" s="16" t="s">
        <v>50</v>
      </c>
      <c r="M99" s="10" t="e">
        <f t="shared" si="2"/>
        <v>#VALUE!</v>
      </c>
      <c r="N99" s="10" t="e">
        <f t="shared" si="3"/>
        <v>#VALUE!</v>
      </c>
      <c r="P99" s="16" t="s">
        <v>50</v>
      </c>
      <c r="Q99" s="17" t="s">
        <v>50</v>
      </c>
      <c r="R99" s="9" t="s">
        <v>50</v>
      </c>
      <c r="S99" s="9" t="s">
        <v>50</v>
      </c>
    </row>
    <row r="100" spans="1:19">
      <c r="A100" s="14" t="s">
        <v>247</v>
      </c>
      <c r="B100" s="10" t="s">
        <v>173</v>
      </c>
      <c r="C100" s="10">
        <v>4202129000</v>
      </c>
      <c r="D100" s="15" t="s">
        <v>245</v>
      </c>
      <c r="E100" s="29" t="s">
        <v>48</v>
      </c>
      <c r="F100" s="29" t="s">
        <v>49</v>
      </c>
      <c r="G100" s="29" t="s">
        <v>48</v>
      </c>
      <c r="H100" s="14" t="s">
        <v>247</v>
      </c>
      <c r="I100" s="18">
        <v>1</v>
      </c>
      <c r="J100" s="10" t="s">
        <v>50</v>
      </c>
      <c r="K100" s="10" t="s">
        <v>50</v>
      </c>
      <c r="L100" s="16" t="s">
        <v>50</v>
      </c>
      <c r="M100" s="10" t="e">
        <f t="shared" si="2"/>
        <v>#VALUE!</v>
      </c>
      <c r="N100" s="10" t="e">
        <f t="shared" si="3"/>
        <v>#VALUE!</v>
      </c>
      <c r="P100" s="16" t="s">
        <v>50</v>
      </c>
      <c r="Q100" s="17" t="s">
        <v>50</v>
      </c>
      <c r="R100" s="9" t="s">
        <v>50</v>
      </c>
      <c r="S100" s="9" t="s">
        <v>50</v>
      </c>
    </row>
    <row r="101" spans="1:19">
      <c r="A101" s="14" t="s">
        <v>248</v>
      </c>
      <c r="B101" s="10" t="s">
        <v>173</v>
      </c>
      <c r="C101" s="10">
        <v>4202129000</v>
      </c>
      <c r="D101" s="15" t="s">
        <v>245</v>
      </c>
      <c r="E101" s="29" t="s">
        <v>48</v>
      </c>
      <c r="F101" s="29" t="s">
        <v>49</v>
      </c>
      <c r="G101" s="29" t="s">
        <v>48</v>
      </c>
      <c r="H101" s="14" t="s">
        <v>248</v>
      </c>
      <c r="I101" s="18">
        <v>1</v>
      </c>
      <c r="J101" s="10" t="s">
        <v>50</v>
      </c>
      <c r="K101" s="10" t="s">
        <v>50</v>
      </c>
      <c r="L101" s="16" t="s">
        <v>50</v>
      </c>
      <c r="M101" s="10" t="e">
        <f t="shared" si="2"/>
        <v>#VALUE!</v>
      </c>
      <c r="N101" s="10" t="e">
        <f t="shared" si="3"/>
        <v>#VALUE!</v>
      </c>
      <c r="P101" s="16" t="s">
        <v>50</v>
      </c>
      <c r="Q101" s="17" t="s">
        <v>50</v>
      </c>
      <c r="R101" s="9" t="s">
        <v>50</v>
      </c>
      <c r="S101" s="9" t="s">
        <v>50</v>
      </c>
    </row>
    <row r="102" spans="1:19">
      <c r="A102" s="14" t="s">
        <v>249</v>
      </c>
      <c r="B102" s="10" t="s">
        <v>250</v>
      </c>
      <c r="C102" s="10">
        <v>3926909090</v>
      </c>
      <c r="D102" s="15" t="s">
        <v>251</v>
      </c>
      <c r="E102" s="29" t="s">
        <v>48</v>
      </c>
      <c r="F102" s="29" t="s">
        <v>49</v>
      </c>
      <c r="G102" s="29" t="s">
        <v>48</v>
      </c>
      <c r="H102" s="14" t="s">
        <v>249</v>
      </c>
      <c r="I102" s="18">
        <v>1</v>
      </c>
      <c r="J102" s="10" t="s">
        <v>50</v>
      </c>
      <c r="K102" s="10" t="s">
        <v>50</v>
      </c>
      <c r="L102" s="16" t="s">
        <v>50</v>
      </c>
      <c r="M102" s="10" t="e">
        <f t="shared" si="2"/>
        <v>#VALUE!</v>
      </c>
      <c r="N102" s="10" t="e">
        <f t="shared" si="3"/>
        <v>#VALUE!</v>
      </c>
      <c r="P102" s="16" t="s">
        <v>50</v>
      </c>
      <c r="Q102" s="17" t="s">
        <v>50</v>
      </c>
      <c r="R102" s="9" t="s">
        <v>50</v>
      </c>
      <c r="S102" s="9" t="s">
        <v>50</v>
      </c>
    </row>
    <row r="103" spans="1:19">
      <c r="A103" s="14" t="s">
        <v>252</v>
      </c>
      <c r="B103" s="10" t="s">
        <v>250</v>
      </c>
      <c r="C103" s="10">
        <v>3926909090</v>
      </c>
      <c r="D103" s="19" t="s">
        <v>253</v>
      </c>
      <c r="E103" s="29" t="s">
        <v>48</v>
      </c>
      <c r="F103" s="29" t="s">
        <v>49</v>
      </c>
      <c r="G103" s="10"/>
      <c r="H103" s="14" t="s">
        <v>252</v>
      </c>
      <c r="I103" s="18">
        <v>1</v>
      </c>
      <c r="J103" s="10" t="s">
        <v>50</v>
      </c>
      <c r="K103" s="10" t="s">
        <v>50</v>
      </c>
      <c r="L103" s="16" t="s">
        <v>50</v>
      </c>
      <c r="M103" s="10" t="e">
        <f t="shared" si="2"/>
        <v>#VALUE!</v>
      </c>
      <c r="N103" s="10" t="e">
        <f t="shared" si="3"/>
        <v>#VALUE!</v>
      </c>
      <c r="P103" s="16" t="s">
        <v>50</v>
      </c>
      <c r="Q103" s="17" t="s">
        <v>50</v>
      </c>
      <c r="R103" s="9" t="s">
        <v>50</v>
      </c>
      <c r="S103" s="9" t="s">
        <v>50</v>
      </c>
    </row>
    <row r="104" spans="1:19">
      <c r="A104" s="14" t="s">
        <v>254</v>
      </c>
      <c r="B104" s="10" t="s">
        <v>250</v>
      </c>
      <c r="C104" s="10">
        <v>3926909090</v>
      </c>
      <c r="D104" s="9" t="s">
        <v>255</v>
      </c>
      <c r="E104" s="29" t="s">
        <v>48</v>
      </c>
      <c r="F104" s="29" t="s">
        <v>49</v>
      </c>
      <c r="H104" s="14" t="s">
        <v>254</v>
      </c>
      <c r="I104" s="10">
        <v>1</v>
      </c>
      <c r="J104" s="10" t="s">
        <v>50</v>
      </c>
      <c r="K104" s="10" t="s">
        <v>50</v>
      </c>
      <c r="L104" s="16" t="s">
        <v>50</v>
      </c>
      <c r="M104" s="10" t="e">
        <f t="shared" si="2"/>
        <v>#VALUE!</v>
      </c>
      <c r="N104" s="10" t="e">
        <f t="shared" si="3"/>
        <v>#VALUE!</v>
      </c>
      <c r="P104" s="16" t="s">
        <v>50</v>
      </c>
      <c r="Q104" s="17" t="s">
        <v>50</v>
      </c>
      <c r="R104" s="9" t="s">
        <v>50</v>
      </c>
      <c r="S104" s="9" t="s">
        <v>50</v>
      </c>
    </row>
    <row r="105" spans="1:19">
      <c r="A105" s="14" t="s">
        <v>256</v>
      </c>
      <c r="B105" s="10" t="s">
        <v>250</v>
      </c>
      <c r="C105" s="10">
        <v>3926909090</v>
      </c>
      <c r="D105" s="9" t="s">
        <v>257</v>
      </c>
      <c r="E105" s="29" t="s">
        <v>48</v>
      </c>
      <c r="F105" s="29" t="s">
        <v>49</v>
      </c>
      <c r="H105" s="14" t="s">
        <v>256</v>
      </c>
      <c r="I105" s="18">
        <v>1</v>
      </c>
      <c r="J105" s="10" t="s">
        <v>50</v>
      </c>
      <c r="K105" s="10" t="s">
        <v>50</v>
      </c>
      <c r="L105" s="16" t="s">
        <v>50</v>
      </c>
      <c r="M105" s="10" t="e">
        <f t="shared" si="2"/>
        <v>#VALUE!</v>
      </c>
      <c r="N105" s="10" t="e">
        <f t="shared" si="3"/>
        <v>#VALUE!</v>
      </c>
      <c r="P105" s="16" t="s">
        <v>50</v>
      </c>
      <c r="Q105" s="17" t="s">
        <v>50</v>
      </c>
      <c r="R105" s="9" t="s">
        <v>50</v>
      </c>
      <c r="S105" s="9" t="s">
        <v>50</v>
      </c>
    </row>
    <row r="106" spans="1:19">
      <c r="A106" s="14" t="s">
        <v>258</v>
      </c>
      <c r="B106" s="10" t="s">
        <v>250</v>
      </c>
      <c r="C106" s="10">
        <v>3926909090</v>
      </c>
      <c r="D106" s="9" t="s">
        <v>259</v>
      </c>
      <c r="E106" s="29" t="s">
        <v>48</v>
      </c>
      <c r="F106" s="29" t="s">
        <v>49</v>
      </c>
      <c r="H106" s="14" t="s">
        <v>258</v>
      </c>
      <c r="I106" s="10">
        <v>1</v>
      </c>
      <c r="J106" s="10" t="s">
        <v>50</v>
      </c>
      <c r="K106" s="10" t="s">
        <v>50</v>
      </c>
      <c r="L106" s="16" t="s">
        <v>50</v>
      </c>
      <c r="M106" s="10" t="e">
        <f t="shared" si="2"/>
        <v>#VALUE!</v>
      </c>
      <c r="N106" s="10" t="e">
        <f t="shared" si="3"/>
        <v>#VALUE!</v>
      </c>
      <c r="P106" s="16" t="s">
        <v>50</v>
      </c>
      <c r="Q106" s="17" t="s">
        <v>50</v>
      </c>
      <c r="R106" s="9" t="s">
        <v>50</v>
      </c>
      <c r="S106" s="9" t="s">
        <v>50</v>
      </c>
    </row>
    <row r="107" spans="1:19">
      <c r="A107" s="14" t="s">
        <v>260</v>
      </c>
      <c r="B107" s="10" t="s">
        <v>250</v>
      </c>
      <c r="C107" s="10">
        <v>3926909090</v>
      </c>
      <c r="D107" s="9" t="s">
        <v>261</v>
      </c>
      <c r="E107" s="29" t="s">
        <v>48</v>
      </c>
      <c r="F107" s="29" t="s">
        <v>49</v>
      </c>
      <c r="H107" s="14" t="s">
        <v>260</v>
      </c>
      <c r="I107" s="18">
        <v>1</v>
      </c>
      <c r="J107" s="10" t="s">
        <v>50</v>
      </c>
      <c r="K107" s="10" t="s">
        <v>50</v>
      </c>
      <c r="L107" s="16" t="s">
        <v>50</v>
      </c>
      <c r="M107" s="10" t="e">
        <f t="shared" si="2"/>
        <v>#VALUE!</v>
      </c>
      <c r="N107" s="10" t="e">
        <f t="shared" si="3"/>
        <v>#VALUE!</v>
      </c>
      <c r="P107" s="16" t="s">
        <v>50</v>
      </c>
      <c r="Q107" s="17" t="s">
        <v>50</v>
      </c>
      <c r="R107" s="9" t="s">
        <v>50</v>
      </c>
      <c r="S107" s="9" t="s">
        <v>50</v>
      </c>
    </row>
    <row r="108" spans="1:19">
      <c r="A108" s="14" t="s">
        <v>262</v>
      </c>
      <c r="B108" s="10" t="s">
        <v>250</v>
      </c>
      <c r="C108" s="10">
        <v>3926909090</v>
      </c>
      <c r="D108" s="9" t="s">
        <v>263</v>
      </c>
      <c r="E108" s="29" t="s">
        <v>48</v>
      </c>
      <c r="F108" s="29" t="s">
        <v>49</v>
      </c>
      <c r="H108" s="14" t="s">
        <v>262</v>
      </c>
      <c r="I108" s="10">
        <v>1</v>
      </c>
      <c r="J108" s="10" t="s">
        <v>50</v>
      </c>
      <c r="K108" s="10" t="s">
        <v>50</v>
      </c>
      <c r="L108" s="16" t="s">
        <v>50</v>
      </c>
      <c r="M108" s="10" t="e">
        <f t="shared" si="2"/>
        <v>#VALUE!</v>
      </c>
      <c r="N108" s="10" t="e">
        <f t="shared" si="3"/>
        <v>#VALUE!</v>
      </c>
      <c r="P108" s="16" t="s">
        <v>50</v>
      </c>
      <c r="Q108" s="17" t="s">
        <v>50</v>
      </c>
      <c r="R108" s="9" t="s">
        <v>50</v>
      </c>
      <c r="S108" s="9" t="s">
        <v>50</v>
      </c>
    </row>
    <row r="109" spans="1:19">
      <c r="A109" s="14" t="s">
        <v>264</v>
      </c>
      <c r="B109" s="10" t="s">
        <v>250</v>
      </c>
      <c r="C109" s="10">
        <v>3926909090</v>
      </c>
      <c r="D109" s="9" t="s">
        <v>265</v>
      </c>
      <c r="E109" s="29" t="s">
        <v>48</v>
      </c>
      <c r="F109" s="29" t="s">
        <v>49</v>
      </c>
      <c r="H109" s="14" t="s">
        <v>264</v>
      </c>
      <c r="I109" s="18">
        <v>1</v>
      </c>
      <c r="J109" s="10" t="s">
        <v>50</v>
      </c>
      <c r="K109" s="10" t="s">
        <v>50</v>
      </c>
      <c r="L109" s="16" t="s">
        <v>50</v>
      </c>
      <c r="M109" s="10" t="e">
        <f t="shared" si="2"/>
        <v>#VALUE!</v>
      </c>
      <c r="N109" s="10" t="e">
        <f t="shared" si="3"/>
        <v>#VALUE!</v>
      </c>
      <c r="P109" s="16" t="s">
        <v>50</v>
      </c>
      <c r="Q109" s="17" t="s">
        <v>50</v>
      </c>
      <c r="R109" s="9" t="s">
        <v>50</v>
      </c>
      <c r="S109" s="9" t="s">
        <v>50</v>
      </c>
    </row>
    <row r="110" spans="1:19">
      <c r="A110" s="14" t="s">
        <v>266</v>
      </c>
      <c r="B110" s="10" t="s">
        <v>250</v>
      </c>
      <c r="C110" s="10">
        <v>3926909090</v>
      </c>
      <c r="D110" s="9" t="s">
        <v>267</v>
      </c>
      <c r="E110" s="29" t="s">
        <v>48</v>
      </c>
      <c r="F110" s="29" t="s">
        <v>49</v>
      </c>
      <c r="H110" s="14" t="s">
        <v>266</v>
      </c>
      <c r="I110" s="10">
        <v>1</v>
      </c>
      <c r="J110" s="10" t="s">
        <v>50</v>
      </c>
      <c r="K110" s="10" t="s">
        <v>50</v>
      </c>
      <c r="L110" s="16" t="s">
        <v>50</v>
      </c>
      <c r="M110" s="10" t="e">
        <f t="shared" si="2"/>
        <v>#VALUE!</v>
      </c>
      <c r="N110" s="10" t="e">
        <f t="shared" si="3"/>
        <v>#VALUE!</v>
      </c>
      <c r="P110" s="16" t="s">
        <v>50</v>
      </c>
      <c r="Q110" s="17" t="s">
        <v>50</v>
      </c>
      <c r="R110" s="9" t="s">
        <v>50</v>
      </c>
      <c r="S110" s="9" t="s">
        <v>50</v>
      </c>
    </row>
    <row r="111" spans="1:19">
      <c r="A111" s="14" t="s">
        <v>268</v>
      </c>
      <c r="B111" s="10" t="s">
        <v>250</v>
      </c>
      <c r="C111" s="10">
        <v>3926909090</v>
      </c>
      <c r="D111" s="9" t="s">
        <v>269</v>
      </c>
      <c r="E111" s="29" t="s">
        <v>48</v>
      </c>
      <c r="F111" s="29" t="s">
        <v>49</v>
      </c>
      <c r="H111" s="14" t="s">
        <v>268</v>
      </c>
      <c r="I111" s="18">
        <v>1</v>
      </c>
      <c r="J111" s="10" t="s">
        <v>50</v>
      </c>
      <c r="K111" s="10" t="s">
        <v>50</v>
      </c>
      <c r="L111" s="16" t="s">
        <v>50</v>
      </c>
      <c r="M111" s="10" t="e">
        <f t="shared" si="2"/>
        <v>#VALUE!</v>
      </c>
      <c r="N111" s="10" t="e">
        <f t="shared" si="3"/>
        <v>#VALUE!</v>
      </c>
      <c r="P111" s="16" t="s">
        <v>50</v>
      </c>
      <c r="Q111" s="17" t="s">
        <v>50</v>
      </c>
      <c r="R111" s="9" t="s">
        <v>50</v>
      </c>
      <c r="S111" s="9" t="s">
        <v>50</v>
      </c>
    </row>
    <row r="112" spans="1:19">
      <c r="A112" s="14" t="s">
        <v>270</v>
      </c>
      <c r="B112" s="10" t="s">
        <v>250</v>
      </c>
      <c r="C112" s="10">
        <v>3926909090</v>
      </c>
      <c r="D112" s="9" t="s">
        <v>271</v>
      </c>
      <c r="E112" s="29" t="s">
        <v>48</v>
      </c>
      <c r="F112" s="29" t="s">
        <v>49</v>
      </c>
      <c r="H112" s="14" t="s">
        <v>270</v>
      </c>
      <c r="I112" s="10">
        <v>1</v>
      </c>
      <c r="J112" s="10" t="s">
        <v>50</v>
      </c>
      <c r="K112" s="10" t="s">
        <v>50</v>
      </c>
      <c r="L112" s="16" t="s">
        <v>50</v>
      </c>
      <c r="M112" s="10" t="e">
        <f t="shared" si="2"/>
        <v>#VALUE!</v>
      </c>
      <c r="N112" s="10" t="e">
        <f t="shared" si="3"/>
        <v>#VALUE!</v>
      </c>
      <c r="P112" s="16" t="s">
        <v>50</v>
      </c>
      <c r="Q112" s="17" t="s">
        <v>50</v>
      </c>
      <c r="R112" s="9" t="s">
        <v>50</v>
      </c>
      <c r="S112" s="9" t="s">
        <v>50</v>
      </c>
    </row>
    <row r="113" spans="1:19">
      <c r="A113" s="14" t="s">
        <v>272</v>
      </c>
      <c r="B113" s="10" t="s">
        <v>250</v>
      </c>
      <c r="C113" s="10">
        <v>3926909090</v>
      </c>
      <c r="D113" s="9" t="s">
        <v>273</v>
      </c>
      <c r="E113" s="29" t="s">
        <v>48</v>
      </c>
      <c r="F113" s="29" t="s">
        <v>49</v>
      </c>
      <c r="H113" s="14" t="s">
        <v>272</v>
      </c>
      <c r="I113" s="18">
        <v>1</v>
      </c>
      <c r="J113" s="10" t="s">
        <v>50</v>
      </c>
      <c r="K113" s="10" t="s">
        <v>50</v>
      </c>
      <c r="L113" s="16" t="s">
        <v>50</v>
      </c>
      <c r="M113" s="10" t="e">
        <f t="shared" si="2"/>
        <v>#VALUE!</v>
      </c>
      <c r="N113" s="10" t="e">
        <f t="shared" si="3"/>
        <v>#VALUE!</v>
      </c>
      <c r="P113" s="16" t="s">
        <v>50</v>
      </c>
      <c r="Q113" s="17" t="s">
        <v>50</v>
      </c>
      <c r="R113" s="9" t="s">
        <v>50</v>
      </c>
      <c r="S113" s="9" t="s">
        <v>50</v>
      </c>
    </row>
    <row r="114" spans="1:19">
      <c r="A114" s="14" t="s">
        <v>274</v>
      </c>
      <c r="B114" s="10" t="s">
        <v>250</v>
      </c>
      <c r="C114" s="10">
        <v>3926909090</v>
      </c>
      <c r="D114" s="9" t="s">
        <v>275</v>
      </c>
      <c r="E114" s="29" t="s">
        <v>48</v>
      </c>
      <c r="F114" s="29" t="s">
        <v>49</v>
      </c>
      <c r="H114" s="14" t="s">
        <v>274</v>
      </c>
      <c r="I114" s="10">
        <v>1</v>
      </c>
      <c r="J114" s="10" t="s">
        <v>50</v>
      </c>
      <c r="K114" s="10" t="s">
        <v>50</v>
      </c>
      <c r="L114" s="16" t="s">
        <v>50</v>
      </c>
      <c r="M114" s="10" t="e">
        <f t="shared" si="2"/>
        <v>#VALUE!</v>
      </c>
      <c r="N114" s="10" t="e">
        <f t="shared" si="3"/>
        <v>#VALUE!</v>
      </c>
      <c r="P114" s="16" t="s">
        <v>50</v>
      </c>
      <c r="Q114" s="17" t="s">
        <v>50</v>
      </c>
      <c r="R114" s="9" t="s">
        <v>50</v>
      </c>
      <c r="S114" s="9" t="s">
        <v>50</v>
      </c>
    </row>
    <row r="115" ht="16" customHeight="1" spans="1:19">
      <c r="A115" s="14" t="s">
        <v>276</v>
      </c>
      <c r="B115" s="10" t="s">
        <v>250</v>
      </c>
      <c r="C115" s="10">
        <v>3926909090</v>
      </c>
      <c r="D115" s="9" t="s">
        <v>277</v>
      </c>
      <c r="E115" s="29" t="s">
        <v>48</v>
      </c>
      <c r="F115" s="29" t="s">
        <v>49</v>
      </c>
      <c r="H115" s="14" t="s">
        <v>276</v>
      </c>
      <c r="I115" s="18">
        <v>1</v>
      </c>
      <c r="J115" s="10" t="s">
        <v>50</v>
      </c>
      <c r="K115" s="10" t="s">
        <v>50</v>
      </c>
      <c r="L115" s="16" t="s">
        <v>50</v>
      </c>
      <c r="M115" s="10" t="e">
        <f t="shared" si="2"/>
        <v>#VALUE!</v>
      </c>
      <c r="N115" s="10" t="e">
        <f t="shared" si="3"/>
        <v>#VALUE!</v>
      </c>
      <c r="P115" s="16" t="s">
        <v>50</v>
      </c>
      <c r="Q115" s="17" t="s">
        <v>50</v>
      </c>
      <c r="R115" s="9" t="s">
        <v>50</v>
      </c>
      <c r="S115" s="9" t="s">
        <v>50</v>
      </c>
    </row>
    <row r="116" spans="1:19">
      <c r="A116" s="14" t="s">
        <v>278</v>
      </c>
      <c r="B116" s="10" t="s">
        <v>250</v>
      </c>
      <c r="C116" s="10">
        <v>3926909090</v>
      </c>
      <c r="D116" s="9" t="s">
        <v>279</v>
      </c>
      <c r="E116" s="29" t="s">
        <v>48</v>
      </c>
      <c r="F116" s="29" t="s">
        <v>49</v>
      </c>
      <c r="H116" s="14" t="s">
        <v>278</v>
      </c>
      <c r="I116" s="10">
        <v>1</v>
      </c>
      <c r="J116" s="10" t="s">
        <v>50</v>
      </c>
      <c r="K116" s="10" t="s">
        <v>50</v>
      </c>
      <c r="L116" s="16" t="s">
        <v>50</v>
      </c>
      <c r="M116" s="10" t="e">
        <f t="shared" si="2"/>
        <v>#VALUE!</v>
      </c>
      <c r="N116" s="10" t="e">
        <f t="shared" si="3"/>
        <v>#VALUE!</v>
      </c>
      <c r="P116" s="16" t="s">
        <v>50</v>
      </c>
      <c r="Q116" s="17" t="s">
        <v>50</v>
      </c>
      <c r="R116" s="9" t="s">
        <v>50</v>
      </c>
      <c r="S116" s="9" t="s">
        <v>50</v>
      </c>
    </row>
    <row r="117" spans="1:19">
      <c r="A117" s="14" t="s">
        <v>280</v>
      </c>
      <c r="B117" s="10" t="s">
        <v>250</v>
      </c>
      <c r="C117" s="10">
        <v>3926909090</v>
      </c>
      <c r="D117" s="9" t="s">
        <v>281</v>
      </c>
      <c r="E117" s="29" t="s">
        <v>48</v>
      </c>
      <c r="F117" s="29" t="s">
        <v>49</v>
      </c>
      <c r="H117" s="14" t="s">
        <v>280</v>
      </c>
      <c r="I117" s="18">
        <v>1</v>
      </c>
      <c r="J117" s="10" t="s">
        <v>50</v>
      </c>
      <c r="K117" s="10" t="s">
        <v>50</v>
      </c>
      <c r="L117" s="16" t="s">
        <v>50</v>
      </c>
      <c r="M117" s="10" t="e">
        <f t="shared" si="2"/>
        <v>#VALUE!</v>
      </c>
      <c r="N117" s="10" t="e">
        <f t="shared" si="3"/>
        <v>#VALUE!</v>
      </c>
      <c r="P117" s="16" t="s">
        <v>50</v>
      </c>
      <c r="Q117" s="17" t="s">
        <v>50</v>
      </c>
      <c r="R117" s="9" t="s">
        <v>50</v>
      </c>
      <c r="S117" s="9" t="s">
        <v>50</v>
      </c>
    </row>
    <row r="118" spans="1:19">
      <c r="A118" s="14" t="s">
        <v>282</v>
      </c>
      <c r="B118" s="10" t="s">
        <v>250</v>
      </c>
      <c r="C118" s="10">
        <v>3926909090</v>
      </c>
      <c r="D118" s="9" t="s">
        <v>283</v>
      </c>
      <c r="E118" s="29" t="s">
        <v>48</v>
      </c>
      <c r="F118" s="29" t="s">
        <v>49</v>
      </c>
      <c r="H118" s="14" t="s">
        <v>282</v>
      </c>
      <c r="I118" s="10">
        <v>1</v>
      </c>
      <c r="J118" s="10" t="s">
        <v>50</v>
      </c>
      <c r="K118" s="10" t="s">
        <v>50</v>
      </c>
      <c r="L118" s="16" t="s">
        <v>50</v>
      </c>
      <c r="M118" s="10" t="e">
        <f t="shared" si="2"/>
        <v>#VALUE!</v>
      </c>
      <c r="N118" s="10" t="e">
        <f t="shared" si="3"/>
        <v>#VALUE!</v>
      </c>
      <c r="P118" s="16" t="s">
        <v>50</v>
      </c>
      <c r="Q118" s="17" t="s">
        <v>50</v>
      </c>
      <c r="R118" s="9" t="s">
        <v>50</v>
      </c>
      <c r="S118" s="9" t="s">
        <v>50</v>
      </c>
    </row>
    <row r="119" spans="1:19">
      <c r="A119" s="14" t="s">
        <v>284</v>
      </c>
      <c r="B119" s="10" t="s">
        <v>250</v>
      </c>
      <c r="C119" s="10">
        <v>3926909090</v>
      </c>
      <c r="D119" s="9" t="s">
        <v>285</v>
      </c>
      <c r="E119" s="29" t="s">
        <v>48</v>
      </c>
      <c r="F119" s="29" t="s">
        <v>49</v>
      </c>
      <c r="H119" s="14" t="s">
        <v>284</v>
      </c>
      <c r="I119" s="18">
        <v>1</v>
      </c>
      <c r="J119" s="10" t="s">
        <v>50</v>
      </c>
      <c r="K119" s="10" t="s">
        <v>50</v>
      </c>
      <c r="L119" s="16" t="s">
        <v>50</v>
      </c>
      <c r="M119" s="10" t="e">
        <f t="shared" si="2"/>
        <v>#VALUE!</v>
      </c>
      <c r="N119" s="10" t="e">
        <f t="shared" si="3"/>
        <v>#VALUE!</v>
      </c>
      <c r="P119" s="16" t="s">
        <v>50</v>
      </c>
      <c r="Q119" s="17" t="s">
        <v>50</v>
      </c>
      <c r="R119" s="9" t="s">
        <v>50</v>
      </c>
      <c r="S119" s="9" t="s">
        <v>50</v>
      </c>
    </row>
    <row r="120" spans="1:19">
      <c r="A120" s="14" t="s">
        <v>286</v>
      </c>
      <c r="B120" s="10" t="s">
        <v>250</v>
      </c>
      <c r="C120" s="10">
        <v>3926909090</v>
      </c>
      <c r="D120" s="9" t="s">
        <v>287</v>
      </c>
      <c r="E120" s="29" t="s">
        <v>48</v>
      </c>
      <c r="F120" s="29" t="s">
        <v>49</v>
      </c>
      <c r="H120" s="14" t="s">
        <v>286</v>
      </c>
      <c r="I120" s="10">
        <v>1</v>
      </c>
      <c r="J120" s="10" t="s">
        <v>50</v>
      </c>
      <c r="K120" s="10" t="s">
        <v>50</v>
      </c>
      <c r="L120" s="16" t="s">
        <v>50</v>
      </c>
      <c r="M120" s="10" t="e">
        <f t="shared" si="2"/>
        <v>#VALUE!</v>
      </c>
      <c r="N120" s="10" t="e">
        <f t="shared" si="3"/>
        <v>#VALUE!</v>
      </c>
      <c r="P120" s="16" t="s">
        <v>50</v>
      </c>
      <c r="Q120" s="17" t="s">
        <v>50</v>
      </c>
      <c r="R120" s="9" t="s">
        <v>50</v>
      </c>
      <c r="S120" s="9" t="s">
        <v>50</v>
      </c>
    </row>
    <row r="121" spans="1:19">
      <c r="A121" s="14" t="s">
        <v>288</v>
      </c>
      <c r="B121" s="10" t="s">
        <v>250</v>
      </c>
      <c r="C121" s="10">
        <v>3926909090</v>
      </c>
      <c r="D121" s="9" t="s">
        <v>289</v>
      </c>
      <c r="E121" s="29" t="s">
        <v>48</v>
      </c>
      <c r="F121" s="29" t="s">
        <v>49</v>
      </c>
      <c r="H121" s="14" t="s">
        <v>288</v>
      </c>
      <c r="I121" s="18">
        <v>1</v>
      </c>
      <c r="J121" s="10" t="s">
        <v>50</v>
      </c>
      <c r="K121" s="10" t="s">
        <v>50</v>
      </c>
      <c r="L121" s="16" t="s">
        <v>50</v>
      </c>
      <c r="M121" s="10" t="e">
        <f t="shared" si="2"/>
        <v>#VALUE!</v>
      </c>
      <c r="N121" s="10" t="e">
        <f t="shared" si="3"/>
        <v>#VALUE!</v>
      </c>
      <c r="P121" s="16" t="s">
        <v>50</v>
      </c>
      <c r="Q121" s="17" t="s">
        <v>50</v>
      </c>
      <c r="R121" s="9" t="s">
        <v>50</v>
      </c>
      <c r="S121" s="9" t="s">
        <v>50</v>
      </c>
    </row>
    <row r="122" spans="1:19">
      <c r="A122" s="14" t="s">
        <v>290</v>
      </c>
      <c r="B122" s="10" t="s">
        <v>250</v>
      </c>
      <c r="C122" s="10">
        <v>3926909090</v>
      </c>
      <c r="D122" s="9" t="s">
        <v>291</v>
      </c>
      <c r="E122" s="29" t="s">
        <v>48</v>
      </c>
      <c r="F122" s="29" t="s">
        <v>49</v>
      </c>
      <c r="H122" s="14" t="s">
        <v>290</v>
      </c>
      <c r="I122" s="10">
        <v>1</v>
      </c>
      <c r="J122" s="10" t="s">
        <v>50</v>
      </c>
      <c r="K122" s="10" t="s">
        <v>50</v>
      </c>
      <c r="L122" s="16" t="s">
        <v>50</v>
      </c>
      <c r="M122" s="10" t="e">
        <f t="shared" si="2"/>
        <v>#VALUE!</v>
      </c>
      <c r="N122" s="10" t="e">
        <f t="shared" si="3"/>
        <v>#VALUE!</v>
      </c>
      <c r="P122" s="16" t="s">
        <v>50</v>
      </c>
      <c r="Q122" s="17" t="s">
        <v>50</v>
      </c>
      <c r="R122" s="9" t="s">
        <v>50</v>
      </c>
      <c r="S122" s="9" t="s">
        <v>50</v>
      </c>
    </row>
    <row r="123" spans="1:19">
      <c r="A123" s="14" t="s">
        <v>292</v>
      </c>
      <c r="B123" s="10" t="s">
        <v>250</v>
      </c>
      <c r="C123" s="10">
        <v>3926909090</v>
      </c>
      <c r="D123" s="9" t="s">
        <v>293</v>
      </c>
      <c r="E123" s="29" t="s">
        <v>48</v>
      </c>
      <c r="F123" s="29" t="s">
        <v>49</v>
      </c>
      <c r="H123" s="14" t="s">
        <v>292</v>
      </c>
      <c r="I123" s="18">
        <v>1</v>
      </c>
      <c r="J123" s="10" t="s">
        <v>50</v>
      </c>
      <c r="K123" s="10" t="s">
        <v>50</v>
      </c>
      <c r="L123" s="16" t="s">
        <v>50</v>
      </c>
      <c r="M123" s="10" t="e">
        <f t="shared" si="2"/>
        <v>#VALUE!</v>
      </c>
      <c r="N123" s="10" t="e">
        <f t="shared" si="3"/>
        <v>#VALUE!</v>
      </c>
      <c r="P123" s="16" t="s">
        <v>50</v>
      </c>
      <c r="Q123" s="17" t="s">
        <v>50</v>
      </c>
      <c r="R123" s="9" t="s">
        <v>50</v>
      </c>
      <c r="S123" s="9" t="s">
        <v>50</v>
      </c>
    </row>
    <row r="124" spans="1:19">
      <c r="A124" s="14" t="s">
        <v>294</v>
      </c>
      <c r="B124" s="10" t="s">
        <v>250</v>
      </c>
      <c r="C124" s="10">
        <v>3926909090</v>
      </c>
      <c r="D124" s="9" t="s">
        <v>295</v>
      </c>
      <c r="E124" s="29" t="s">
        <v>48</v>
      </c>
      <c r="F124" s="29" t="s">
        <v>49</v>
      </c>
      <c r="H124" s="14" t="s">
        <v>294</v>
      </c>
      <c r="I124" s="10">
        <v>1</v>
      </c>
      <c r="J124" s="10" t="s">
        <v>50</v>
      </c>
      <c r="K124" s="10" t="s">
        <v>50</v>
      </c>
      <c r="L124" s="16" t="s">
        <v>50</v>
      </c>
      <c r="M124" s="10" t="e">
        <f t="shared" si="2"/>
        <v>#VALUE!</v>
      </c>
      <c r="N124" s="10" t="e">
        <f t="shared" si="3"/>
        <v>#VALUE!</v>
      </c>
      <c r="P124" s="16" t="s">
        <v>50</v>
      </c>
      <c r="Q124" s="17" t="s">
        <v>50</v>
      </c>
      <c r="R124" s="9" t="s">
        <v>50</v>
      </c>
      <c r="S124" s="9" t="s">
        <v>50</v>
      </c>
    </row>
    <row r="125" spans="1:19">
      <c r="A125" s="14" t="s">
        <v>296</v>
      </c>
      <c r="B125" s="10" t="s">
        <v>250</v>
      </c>
      <c r="C125" s="10">
        <v>3926909090</v>
      </c>
      <c r="D125" s="9" t="s">
        <v>297</v>
      </c>
      <c r="E125" s="29" t="s">
        <v>48</v>
      </c>
      <c r="F125" s="29" t="s">
        <v>49</v>
      </c>
      <c r="H125" s="14" t="s">
        <v>296</v>
      </c>
      <c r="I125" s="18">
        <v>1</v>
      </c>
      <c r="J125" s="10" t="s">
        <v>50</v>
      </c>
      <c r="K125" s="10" t="s">
        <v>50</v>
      </c>
      <c r="L125" s="16" t="s">
        <v>50</v>
      </c>
      <c r="M125" s="10" t="e">
        <f t="shared" si="2"/>
        <v>#VALUE!</v>
      </c>
      <c r="N125" s="10" t="e">
        <f t="shared" si="3"/>
        <v>#VALUE!</v>
      </c>
      <c r="P125" s="16" t="s">
        <v>50</v>
      </c>
      <c r="Q125" s="17" t="s">
        <v>50</v>
      </c>
      <c r="R125" s="9" t="s">
        <v>50</v>
      </c>
      <c r="S125" s="9" t="s">
        <v>50</v>
      </c>
    </row>
    <row r="126" spans="1:19">
      <c r="A126" s="14" t="s">
        <v>298</v>
      </c>
      <c r="B126" s="10" t="s">
        <v>250</v>
      </c>
      <c r="C126" s="10">
        <v>3926909090</v>
      </c>
      <c r="D126" s="9" t="s">
        <v>299</v>
      </c>
      <c r="E126" s="29" t="s">
        <v>48</v>
      </c>
      <c r="F126" s="29" t="s">
        <v>49</v>
      </c>
      <c r="H126" s="14" t="s">
        <v>298</v>
      </c>
      <c r="I126" s="10">
        <v>1</v>
      </c>
      <c r="J126" s="10" t="s">
        <v>50</v>
      </c>
      <c r="K126" s="10" t="s">
        <v>50</v>
      </c>
      <c r="L126" s="16" t="s">
        <v>50</v>
      </c>
      <c r="M126" s="10" t="e">
        <f t="shared" si="2"/>
        <v>#VALUE!</v>
      </c>
      <c r="N126" s="10" t="e">
        <f t="shared" si="3"/>
        <v>#VALUE!</v>
      </c>
      <c r="P126" s="16" t="s">
        <v>50</v>
      </c>
      <c r="Q126" s="17" t="s">
        <v>50</v>
      </c>
      <c r="R126" s="9" t="s">
        <v>50</v>
      </c>
      <c r="S126" s="9" t="s">
        <v>50</v>
      </c>
    </row>
    <row r="127" spans="1:19">
      <c r="A127" s="14" t="s">
        <v>300</v>
      </c>
      <c r="B127" s="10" t="s">
        <v>250</v>
      </c>
      <c r="C127" s="10">
        <v>3926909090</v>
      </c>
      <c r="D127" s="9" t="s">
        <v>301</v>
      </c>
      <c r="E127" s="29" t="s">
        <v>48</v>
      </c>
      <c r="F127" s="29" t="s">
        <v>49</v>
      </c>
      <c r="H127" s="14" t="s">
        <v>300</v>
      </c>
      <c r="I127" s="18">
        <v>1</v>
      </c>
      <c r="J127" s="10" t="s">
        <v>50</v>
      </c>
      <c r="K127" s="10" t="s">
        <v>50</v>
      </c>
      <c r="L127" s="16" t="s">
        <v>50</v>
      </c>
      <c r="M127" s="10" t="e">
        <f t="shared" si="2"/>
        <v>#VALUE!</v>
      </c>
      <c r="N127" s="10" t="e">
        <f t="shared" si="3"/>
        <v>#VALUE!</v>
      </c>
      <c r="P127" s="16" t="s">
        <v>50</v>
      </c>
      <c r="Q127" s="17" t="s">
        <v>50</v>
      </c>
      <c r="R127" s="9" t="s">
        <v>50</v>
      </c>
      <c r="S127" s="9" t="s">
        <v>50</v>
      </c>
    </row>
    <row r="128" spans="1:19">
      <c r="A128" s="14" t="s">
        <v>302</v>
      </c>
      <c r="B128" s="10" t="s">
        <v>250</v>
      </c>
      <c r="C128" s="10">
        <v>3926909090</v>
      </c>
      <c r="D128" s="9" t="s">
        <v>303</v>
      </c>
      <c r="E128" s="29" t="s">
        <v>48</v>
      </c>
      <c r="F128" s="29" t="s">
        <v>49</v>
      </c>
      <c r="H128" s="14" t="s">
        <v>302</v>
      </c>
      <c r="I128" s="10">
        <v>1</v>
      </c>
      <c r="J128" s="10" t="s">
        <v>50</v>
      </c>
      <c r="K128" s="10" t="s">
        <v>50</v>
      </c>
      <c r="L128" s="16" t="s">
        <v>50</v>
      </c>
      <c r="M128" s="10" t="e">
        <f t="shared" si="2"/>
        <v>#VALUE!</v>
      </c>
      <c r="N128" s="10" t="e">
        <f t="shared" si="3"/>
        <v>#VALUE!</v>
      </c>
      <c r="P128" s="16" t="s">
        <v>50</v>
      </c>
      <c r="Q128" s="17" t="s">
        <v>50</v>
      </c>
      <c r="R128" s="9" t="s">
        <v>50</v>
      </c>
      <c r="S128" s="9" t="s">
        <v>50</v>
      </c>
    </row>
    <row r="129" spans="1:19">
      <c r="A129" s="14" t="s">
        <v>304</v>
      </c>
      <c r="B129" s="10" t="s">
        <v>250</v>
      </c>
      <c r="C129" s="10">
        <v>3926909090</v>
      </c>
      <c r="D129" s="9" t="s">
        <v>305</v>
      </c>
      <c r="E129" s="29" t="s">
        <v>48</v>
      </c>
      <c r="F129" s="29" t="s">
        <v>49</v>
      </c>
      <c r="H129" s="14" t="s">
        <v>304</v>
      </c>
      <c r="I129" s="18">
        <v>1</v>
      </c>
      <c r="J129" s="10" t="s">
        <v>50</v>
      </c>
      <c r="K129" s="10" t="s">
        <v>50</v>
      </c>
      <c r="L129" s="16" t="s">
        <v>50</v>
      </c>
      <c r="M129" s="10" t="e">
        <f t="shared" si="2"/>
        <v>#VALUE!</v>
      </c>
      <c r="N129" s="10" t="e">
        <f t="shared" si="3"/>
        <v>#VALUE!</v>
      </c>
      <c r="P129" s="16" t="s">
        <v>50</v>
      </c>
      <c r="Q129" s="17" t="s">
        <v>50</v>
      </c>
      <c r="R129" s="9" t="s">
        <v>50</v>
      </c>
      <c r="S129" s="9" t="s">
        <v>50</v>
      </c>
    </row>
    <row r="130" spans="1:19">
      <c r="A130" s="14" t="s">
        <v>306</v>
      </c>
      <c r="B130" s="10" t="s">
        <v>307</v>
      </c>
      <c r="C130" s="10">
        <v>3926909090</v>
      </c>
      <c r="D130" s="9" t="s">
        <v>308</v>
      </c>
      <c r="E130" s="29" t="s">
        <v>48</v>
      </c>
      <c r="F130" s="29" t="s">
        <v>49</v>
      </c>
      <c r="H130" s="14" t="s">
        <v>306</v>
      </c>
      <c r="I130" s="10">
        <v>1</v>
      </c>
      <c r="J130" s="10" t="s">
        <v>50</v>
      </c>
      <c r="K130" s="10" t="s">
        <v>50</v>
      </c>
      <c r="L130" s="16" t="s">
        <v>50</v>
      </c>
      <c r="M130" s="10" t="e">
        <f t="shared" ref="M130:M174" si="4">J130*K130</f>
        <v>#VALUE!</v>
      </c>
      <c r="N130" s="10" t="e">
        <f t="shared" ref="N130:N174" si="5">M130+J130*L130+1.5</f>
        <v>#VALUE!</v>
      </c>
      <c r="P130" s="16" t="s">
        <v>50</v>
      </c>
      <c r="Q130" s="17" t="s">
        <v>50</v>
      </c>
      <c r="R130" s="9" t="s">
        <v>50</v>
      </c>
      <c r="S130" s="9" t="s">
        <v>50</v>
      </c>
    </row>
    <row r="131" spans="1:19">
      <c r="A131" s="14" t="s">
        <v>309</v>
      </c>
      <c r="B131" s="10" t="s">
        <v>307</v>
      </c>
      <c r="C131" s="10">
        <v>3926909090</v>
      </c>
      <c r="D131" s="9" t="s">
        <v>310</v>
      </c>
      <c r="E131" s="29" t="s">
        <v>48</v>
      </c>
      <c r="F131" s="29" t="s">
        <v>49</v>
      </c>
      <c r="H131" s="14" t="s">
        <v>309</v>
      </c>
      <c r="I131" s="18">
        <v>1</v>
      </c>
      <c r="J131" s="10" t="s">
        <v>50</v>
      </c>
      <c r="K131" s="10" t="s">
        <v>50</v>
      </c>
      <c r="L131" s="16" t="s">
        <v>50</v>
      </c>
      <c r="M131" s="10" t="e">
        <f t="shared" si="4"/>
        <v>#VALUE!</v>
      </c>
      <c r="N131" s="10" t="e">
        <f t="shared" si="5"/>
        <v>#VALUE!</v>
      </c>
      <c r="P131" s="16" t="s">
        <v>50</v>
      </c>
      <c r="Q131" s="17" t="s">
        <v>50</v>
      </c>
      <c r="R131" s="9" t="s">
        <v>50</v>
      </c>
      <c r="S131" s="9" t="s">
        <v>50</v>
      </c>
    </row>
    <row r="132" spans="1:19">
      <c r="A132" s="14" t="s">
        <v>311</v>
      </c>
      <c r="B132" s="10" t="s">
        <v>307</v>
      </c>
      <c r="C132" s="10">
        <v>3926909090</v>
      </c>
      <c r="D132" s="9" t="s">
        <v>312</v>
      </c>
      <c r="E132" s="29" t="s">
        <v>48</v>
      </c>
      <c r="F132" s="29" t="s">
        <v>49</v>
      </c>
      <c r="H132" s="14" t="s">
        <v>311</v>
      </c>
      <c r="I132" s="10">
        <v>1</v>
      </c>
      <c r="J132" s="10" t="s">
        <v>50</v>
      </c>
      <c r="K132" s="10" t="s">
        <v>50</v>
      </c>
      <c r="L132" s="16" t="s">
        <v>50</v>
      </c>
      <c r="M132" s="10" t="e">
        <f t="shared" si="4"/>
        <v>#VALUE!</v>
      </c>
      <c r="N132" s="10" t="e">
        <f t="shared" si="5"/>
        <v>#VALUE!</v>
      </c>
      <c r="P132" s="16" t="s">
        <v>50</v>
      </c>
      <c r="Q132" s="17" t="s">
        <v>50</v>
      </c>
      <c r="R132" s="9" t="s">
        <v>50</v>
      </c>
      <c r="S132" s="9" t="s">
        <v>50</v>
      </c>
    </row>
    <row r="133" spans="1:19">
      <c r="A133" s="14" t="s">
        <v>313</v>
      </c>
      <c r="B133" s="10" t="s">
        <v>307</v>
      </c>
      <c r="C133" s="10">
        <v>3926909090</v>
      </c>
      <c r="D133" s="9" t="s">
        <v>314</v>
      </c>
      <c r="E133" s="29" t="s">
        <v>48</v>
      </c>
      <c r="F133" s="29" t="s">
        <v>49</v>
      </c>
      <c r="H133" s="14" t="s">
        <v>313</v>
      </c>
      <c r="I133" s="18">
        <v>1</v>
      </c>
      <c r="J133" s="10" t="s">
        <v>50</v>
      </c>
      <c r="K133" s="10" t="s">
        <v>50</v>
      </c>
      <c r="L133" s="16" t="s">
        <v>50</v>
      </c>
      <c r="M133" s="10" t="e">
        <f t="shared" si="4"/>
        <v>#VALUE!</v>
      </c>
      <c r="N133" s="10" t="e">
        <f t="shared" si="5"/>
        <v>#VALUE!</v>
      </c>
      <c r="P133" s="16" t="s">
        <v>50</v>
      </c>
      <c r="Q133" s="17" t="s">
        <v>50</v>
      </c>
      <c r="R133" s="9" t="s">
        <v>50</v>
      </c>
      <c r="S133" s="9" t="s">
        <v>50</v>
      </c>
    </row>
    <row r="134" spans="1:19">
      <c r="A134" s="14" t="s">
        <v>315</v>
      </c>
      <c r="B134" s="10" t="s">
        <v>307</v>
      </c>
      <c r="C134" s="10">
        <v>3926909090</v>
      </c>
      <c r="D134" s="9" t="s">
        <v>316</v>
      </c>
      <c r="E134" s="29" t="s">
        <v>48</v>
      </c>
      <c r="F134" s="29" t="s">
        <v>49</v>
      </c>
      <c r="H134" s="14" t="s">
        <v>315</v>
      </c>
      <c r="I134" s="10">
        <v>1</v>
      </c>
      <c r="J134" s="10" t="s">
        <v>50</v>
      </c>
      <c r="K134" s="10" t="s">
        <v>50</v>
      </c>
      <c r="L134" s="16" t="s">
        <v>50</v>
      </c>
      <c r="M134" s="10" t="e">
        <f t="shared" si="4"/>
        <v>#VALUE!</v>
      </c>
      <c r="N134" s="10" t="e">
        <f t="shared" si="5"/>
        <v>#VALUE!</v>
      </c>
      <c r="P134" s="16" t="s">
        <v>50</v>
      </c>
      <c r="Q134" s="17" t="s">
        <v>50</v>
      </c>
      <c r="R134" s="9" t="s">
        <v>50</v>
      </c>
      <c r="S134" s="9" t="s">
        <v>50</v>
      </c>
    </row>
    <row r="135" spans="1:19">
      <c r="A135" s="14" t="s">
        <v>317</v>
      </c>
      <c r="B135" s="10" t="s">
        <v>307</v>
      </c>
      <c r="C135" s="10">
        <v>3926909090</v>
      </c>
      <c r="D135" s="9" t="s">
        <v>318</v>
      </c>
      <c r="E135" s="29" t="s">
        <v>48</v>
      </c>
      <c r="F135" s="29" t="s">
        <v>49</v>
      </c>
      <c r="H135" s="14" t="s">
        <v>317</v>
      </c>
      <c r="I135" s="18">
        <v>1</v>
      </c>
      <c r="J135" s="10" t="s">
        <v>50</v>
      </c>
      <c r="K135" s="10" t="s">
        <v>50</v>
      </c>
      <c r="L135" s="16" t="s">
        <v>50</v>
      </c>
      <c r="M135" s="10" t="e">
        <f t="shared" si="4"/>
        <v>#VALUE!</v>
      </c>
      <c r="N135" s="10" t="e">
        <f t="shared" si="5"/>
        <v>#VALUE!</v>
      </c>
      <c r="P135" s="16" t="s">
        <v>50</v>
      </c>
      <c r="Q135" s="17" t="s">
        <v>50</v>
      </c>
      <c r="R135" s="9" t="s">
        <v>50</v>
      </c>
      <c r="S135" s="9" t="s">
        <v>50</v>
      </c>
    </row>
    <row r="136" spans="1:19">
      <c r="A136" s="14" t="s">
        <v>319</v>
      </c>
      <c r="B136" s="10" t="s">
        <v>307</v>
      </c>
      <c r="C136" s="10">
        <v>3926909090</v>
      </c>
      <c r="D136" s="9" t="s">
        <v>320</v>
      </c>
      <c r="E136" s="29" t="s">
        <v>48</v>
      </c>
      <c r="F136" s="29" t="s">
        <v>49</v>
      </c>
      <c r="H136" s="14" t="s">
        <v>319</v>
      </c>
      <c r="I136" s="10">
        <v>1</v>
      </c>
      <c r="J136" s="10" t="s">
        <v>50</v>
      </c>
      <c r="K136" s="10" t="s">
        <v>50</v>
      </c>
      <c r="L136" s="16" t="s">
        <v>50</v>
      </c>
      <c r="M136" s="10" t="e">
        <f t="shared" si="4"/>
        <v>#VALUE!</v>
      </c>
      <c r="N136" s="10" t="e">
        <f t="shared" si="5"/>
        <v>#VALUE!</v>
      </c>
      <c r="P136" s="16" t="s">
        <v>50</v>
      </c>
      <c r="Q136" s="17" t="s">
        <v>50</v>
      </c>
      <c r="R136" s="9" t="s">
        <v>50</v>
      </c>
      <c r="S136" s="9" t="s">
        <v>50</v>
      </c>
    </row>
    <row r="137" spans="1:19">
      <c r="A137" s="14" t="s">
        <v>321</v>
      </c>
      <c r="B137" s="10" t="s">
        <v>307</v>
      </c>
      <c r="C137" s="10">
        <v>3926909090</v>
      </c>
      <c r="D137" s="9" t="s">
        <v>322</v>
      </c>
      <c r="E137" s="29" t="s">
        <v>48</v>
      </c>
      <c r="F137" s="29" t="s">
        <v>49</v>
      </c>
      <c r="H137" s="14" t="s">
        <v>321</v>
      </c>
      <c r="I137" s="18">
        <v>1</v>
      </c>
      <c r="J137" s="10" t="s">
        <v>50</v>
      </c>
      <c r="K137" s="10" t="s">
        <v>50</v>
      </c>
      <c r="L137" s="16" t="s">
        <v>50</v>
      </c>
      <c r="M137" s="10" t="e">
        <f t="shared" si="4"/>
        <v>#VALUE!</v>
      </c>
      <c r="N137" s="10" t="e">
        <f t="shared" si="5"/>
        <v>#VALUE!</v>
      </c>
      <c r="P137" s="16" t="s">
        <v>50</v>
      </c>
      <c r="Q137" s="17" t="s">
        <v>50</v>
      </c>
      <c r="R137" s="9" t="s">
        <v>50</v>
      </c>
      <c r="S137" s="9" t="s">
        <v>50</v>
      </c>
    </row>
    <row r="138" spans="1:19">
      <c r="A138" s="14" t="s">
        <v>323</v>
      </c>
      <c r="B138" s="10" t="s">
        <v>324</v>
      </c>
      <c r="C138" s="10">
        <v>3926909090</v>
      </c>
      <c r="D138" s="9" t="s">
        <v>325</v>
      </c>
      <c r="E138" s="29" t="s">
        <v>48</v>
      </c>
      <c r="F138" s="29" t="s">
        <v>49</v>
      </c>
      <c r="H138" s="14" t="s">
        <v>323</v>
      </c>
      <c r="I138" s="10">
        <v>1</v>
      </c>
      <c r="J138" s="10" t="s">
        <v>50</v>
      </c>
      <c r="K138" s="10" t="s">
        <v>50</v>
      </c>
      <c r="L138" s="16" t="s">
        <v>50</v>
      </c>
      <c r="M138" s="10" t="e">
        <f t="shared" si="4"/>
        <v>#VALUE!</v>
      </c>
      <c r="N138" s="10" t="e">
        <f t="shared" si="5"/>
        <v>#VALUE!</v>
      </c>
      <c r="P138" s="16" t="s">
        <v>50</v>
      </c>
      <c r="Q138" s="17" t="s">
        <v>50</v>
      </c>
      <c r="R138" s="9" t="s">
        <v>50</v>
      </c>
      <c r="S138" s="9" t="s">
        <v>50</v>
      </c>
    </row>
    <row r="139" spans="1:19">
      <c r="A139" s="14" t="s">
        <v>326</v>
      </c>
      <c r="B139" s="10" t="s">
        <v>324</v>
      </c>
      <c r="C139" s="10">
        <v>3926909090</v>
      </c>
      <c r="D139" s="9" t="s">
        <v>327</v>
      </c>
      <c r="E139" s="29" t="s">
        <v>48</v>
      </c>
      <c r="F139" s="29" t="s">
        <v>49</v>
      </c>
      <c r="H139" s="14" t="s">
        <v>326</v>
      </c>
      <c r="I139" s="18">
        <v>1</v>
      </c>
      <c r="J139" s="10" t="s">
        <v>50</v>
      </c>
      <c r="K139" s="10" t="s">
        <v>50</v>
      </c>
      <c r="L139" s="16" t="s">
        <v>50</v>
      </c>
      <c r="M139" s="10" t="e">
        <f t="shared" si="4"/>
        <v>#VALUE!</v>
      </c>
      <c r="N139" s="10" t="e">
        <f t="shared" si="5"/>
        <v>#VALUE!</v>
      </c>
      <c r="P139" s="16" t="s">
        <v>50</v>
      </c>
      <c r="Q139" s="17" t="s">
        <v>50</v>
      </c>
      <c r="R139" s="9" t="s">
        <v>50</v>
      </c>
      <c r="S139" s="9" t="s">
        <v>50</v>
      </c>
    </row>
    <row r="140" spans="1:19">
      <c r="A140" s="14" t="s">
        <v>328</v>
      </c>
      <c r="B140" s="10" t="s">
        <v>324</v>
      </c>
      <c r="C140" s="10">
        <v>3926909090</v>
      </c>
      <c r="D140" s="9" t="s">
        <v>329</v>
      </c>
      <c r="E140" s="29" t="s">
        <v>48</v>
      </c>
      <c r="F140" s="29" t="s">
        <v>49</v>
      </c>
      <c r="H140" s="14" t="s">
        <v>328</v>
      </c>
      <c r="I140" s="10">
        <v>1</v>
      </c>
      <c r="J140" s="10" t="s">
        <v>50</v>
      </c>
      <c r="K140" s="10" t="s">
        <v>50</v>
      </c>
      <c r="L140" s="16" t="s">
        <v>50</v>
      </c>
      <c r="M140" s="10" t="e">
        <f t="shared" si="4"/>
        <v>#VALUE!</v>
      </c>
      <c r="N140" s="10" t="e">
        <f t="shared" si="5"/>
        <v>#VALUE!</v>
      </c>
      <c r="P140" s="16" t="s">
        <v>50</v>
      </c>
      <c r="Q140" s="17" t="s">
        <v>50</v>
      </c>
      <c r="R140" s="9" t="s">
        <v>50</v>
      </c>
      <c r="S140" s="9" t="s">
        <v>50</v>
      </c>
    </row>
    <row r="141" spans="1:19">
      <c r="A141" s="14" t="s">
        <v>330</v>
      </c>
      <c r="B141" s="10" t="s">
        <v>324</v>
      </c>
      <c r="C141" s="10">
        <v>3926909090</v>
      </c>
      <c r="D141" s="9" t="s">
        <v>331</v>
      </c>
      <c r="E141" s="29" t="s">
        <v>48</v>
      </c>
      <c r="F141" s="29" t="s">
        <v>49</v>
      </c>
      <c r="H141" s="14" t="s">
        <v>330</v>
      </c>
      <c r="I141" s="18">
        <v>1</v>
      </c>
      <c r="J141" s="10" t="s">
        <v>50</v>
      </c>
      <c r="K141" s="10" t="s">
        <v>50</v>
      </c>
      <c r="L141" s="16" t="s">
        <v>50</v>
      </c>
      <c r="M141" s="10" t="e">
        <f t="shared" si="4"/>
        <v>#VALUE!</v>
      </c>
      <c r="N141" s="10" t="e">
        <f t="shared" si="5"/>
        <v>#VALUE!</v>
      </c>
      <c r="P141" s="16" t="s">
        <v>50</v>
      </c>
      <c r="Q141" s="17" t="s">
        <v>50</v>
      </c>
      <c r="R141" s="9" t="s">
        <v>50</v>
      </c>
      <c r="S141" s="9" t="s">
        <v>50</v>
      </c>
    </row>
    <row r="142" spans="1:19">
      <c r="A142" s="14" t="s">
        <v>332</v>
      </c>
      <c r="B142" s="10" t="s">
        <v>324</v>
      </c>
      <c r="C142" s="10">
        <v>3926909090</v>
      </c>
      <c r="D142" s="9" t="s">
        <v>333</v>
      </c>
      <c r="E142" s="29" t="s">
        <v>48</v>
      </c>
      <c r="F142" s="29" t="s">
        <v>49</v>
      </c>
      <c r="H142" s="14" t="s">
        <v>332</v>
      </c>
      <c r="I142" s="10">
        <v>1</v>
      </c>
      <c r="J142" s="10" t="s">
        <v>50</v>
      </c>
      <c r="K142" s="10" t="s">
        <v>50</v>
      </c>
      <c r="L142" s="16" t="s">
        <v>50</v>
      </c>
      <c r="M142" s="10" t="e">
        <f t="shared" si="4"/>
        <v>#VALUE!</v>
      </c>
      <c r="N142" s="10" t="e">
        <f t="shared" si="5"/>
        <v>#VALUE!</v>
      </c>
      <c r="P142" s="16" t="s">
        <v>50</v>
      </c>
      <c r="Q142" s="17" t="s">
        <v>50</v>
      </c>
      <c r="R142" s="9" t="s">
        <v>50</v>
      </c>
      <c r="S142" s="9" t="s">
        <v>50</v>
      </c>
    </row>
    <row r="143" spans="1:19">
      <c r="A143" s="14" t="s">
        <v>334</v>
      </c>
      <c r="B143" s="10" t="s">
        <v>307</v>
      </c>
      <c r="C143" s="10">
        <v>3926909090</v>
      </c>
      <c r="D143" s="9" t="s">
        <v>335</v>
      </c>
      <c r="E143" s="29" t="s">
        <v>48</v>
      </c>
      <c r="F143" s="29" t="s">
        <v>49</v>
      </c>
      <c r="H143" s="14" t="s">
        <v>334</v>
      </c>
      <c r="I143" s="18">
        <v>1</v>
      </c>
      <c r="J143" s="10" t="s">
        <v>50</v>
      </c>
      <c r="K143" s="10" t="s">
        <v>50</v>
      </c>
      <c r="L143" s="16" t="s">
        <v>50</v>
      </c>
      <c r="M143" s="10" t="e">
        <f t="shared" si="4"/>
        <v>#VALUE!</v>
      </c>
      <c r="N143" s="10" t="e">
        <f t="shared" si="5"/>
        <v>#VALUE!</v>
      </c>
      <c r="P143" s="16" t="s">
        <v>50</v>
      </c>
      <c r="Q143" s="17" t="s">
        <v>50</v>
      </c>
      <c r="R143" s="9" t="s">
        <v>50</v>
      </c>
      <c r="S143" s="9" t="s">
        <v>50</v>
      </c>
    </row>
    <row r="144" spans="1:19">
      <c r="A144" s="14" t="s">
        <v>336</v>
      </c>
      <c r="B144" s="10" t="s">
        <v>307</v>
      </c>
      <c r="C144" s="10">
        <v>3926909090</v>
      </c>
      <c r="D144" s="9" t="s">
        <v>337</v>
      </c>
      <c r="E144" s="29" t="s">
        <v>48</v>
      </c>
      <c r="F144" s="29" t="s">
        <v>49</v>
      </c>
      <c r="H144" s="14" t="s">
        <v>336</v>
      </c>
      <c r="I144" s="10">
        <v>1</v>
      </c>
      <c r="J144" s="10" t="s">
        <v>50</v>
      </c>
      <c r="K144" s="10" t="s">
        <v>50</v>
      </c>
      <c r="L144" s="16" t="s">
        <v>50</v>
      </c>
      <c r="M144" s="10" t="e">
        <f t="shared" si="4"/>
        <v>#VALUE!</v>
      </c>
      <c r="N144" s="10" t="e">
        <f t="shared" si="5"/>
        <v>#VALUE!</v>
      </c>
      <c r="P144" s="16" t="s">
        <v>50</v>
      </c>
      <c r="Q144" s="17" t="s">
        <v>50</v>
      </c>
      <c r="R144" s="9" t="s">
        <v>50</v>
      </c>
      <c r="S144" s="9" t="s">
        <v>50</v>
      </c>
    </row>
    <row r="145" spans="1:19">
      <c r="A145" s="14" t="s">
        <v>338</v>
      </c>
      <c r="B145" s="10" t="s">
        <v>307</v>
      </c>
      <c r="C145" s="10">
        <v>3926909090</v>
      </c>
      <c r="D145" s="9" t="s">
        <v>337</v>
      </c>
      <c r="E145" s="29" t="s">
        <v>48</v>
      </c>
      <c r="F145" s="29" t="s">
        <v>49</v>
      </c>
      <c r="H145" s="14" t="s">
        <v>336</v>
      </c>
      <c r="I145" s="10">
        <v>1</v>
      </c>
      <c r="J145" s="10" t="s">
        <v>50</v>
      </c>
      <c r="K145" s="10" t="s">
        <v>50</v>
      </c>
      <c r="L145" s="16" t="s">
        <v>50</v>
      </c>
      <c r="M145" s="10" t="e">
        <f t="shared" si="4"/>
        <v>#VALUE!</v>
      </c>
      <c r="N145" s="10" t="e">
        <f t="shared" si="5"/>
        <v>#VALUE!</v>
      </c>
      <c r="P145" s="16" t="s">
        <v>50</v>
      </c>
      <c r="Q145" s="17" t="s">
        <v>50</v>
      </c>
      <c r="R145" s="9" t="s">
        <v>50</v>
      </c>
      <c r="S145" s="9" t="s">
        <v>50</v>
      </c>
    </row>
    <row r="146" spans="1:19">
      <c r="A146" s="14" t="s">
        <v>339</v>
      </c>
      <c r="B146" s="10" t="s">
        <v>307</v>
      </c>
      <c r="C146" s="10">
        <v>3926909090</v>
      </c>
      <c r="D146" s="9" t="s">
        <v>340</v>
      </c>
      <c r="E146" s="29" t="s">
        <v>48</v>
      </c>
      <c r="F146" s="29" t="s">
        <v>49</v>
      </c>
      <c r="H146" s="14" t="s">
        <v>339</v>
      </c>
      <c r="I146" s="18">
        <v>1</v>
      </c>
      <c r="J146" s="10" t="s">
        <v>50</v>
      </c>
      <c r="K146" s="10" t="s">
        <v>50</v>
      </c>
      <c r="L146" s="16" t="s">
        <v>50</v>
      </c>
      <c r="M146" s="10" t="e">
        <f t="shared" si="4"/>
        <v>#VALUE!</v>
      </c>
      <c r="N146" s="10" t="e">
        <f t="shared" si="5"/>
        <v>#VALUE!</v>
      </c>
      <c r="P146" s="16" t="s">
        <v>50</v>
      </c>
      <c r="Q146" s="17" t="s">
        <v>50</v>
      </c>
      <c r="R146" s="9" t="s">
        <v>50</v>
      </c>
      <c r="S146" s="9" t="s">
        <v>50</v>
      </c>
    </row>
    <row r="147" spans="1:19">
      <c r="A147" s="14" t="s">
        <v>341</v>
      </c>
      <c r="B147" s="10" t="s">
        <v>307</v>
      </c>
      <c r="C147" s="10">
        <v>3926909090</v>
      </c>
      <c r="D147" s="9" t="s">
        <v>342</v>
      </c>
      <c r="E147" s="29" t="s">
        <v>48</v>
      </c>
      <c r="F147" s="29" t="s">
        <v>49</v>
      </c>
      <c r="H147" s="14" t="s">
        <v>341</v>
      </c>
      <c r="I147" s="10">
        <v>1</v>
      </c>
      <c r="J147" s="10" t="s">
        <v>50</v>
      </c>
      <c r="K147" s="10" t="s">
        <v>50</v>
      </c>
      <c r="L147" s="16" t="s">
        <v>50</v>
      </c>
      <c r="M147" s="10" t="e">
        <f t="shared" si="4"/>
        <v>#VALUE!</v>
      </c>
      <c r="N147" s="10" t="e">
        <f t="shared" si="5"/>
        <v>#VALUE!</v>
      </c>
      <c r="P147" s="16" t="s">
        <v>50</v>
      </c>
      <c r="Q147" s="17" t="s">
        <v>50</v>
      </c>
      <c r="R147" s="9" t="s">
        <v>50</v>
      </c>
      <c r="S147" s="9" t="s">
        <v>50</v>
      </c>
    </row>
    <row r="148" spans="1:19">
      <c r="A148" s="14" t="s">
        <v>343</v>
      </c>
      <c r="B148" s="10" t="s">
        <v>307</v>
      </c>
      <c r="C148" s="10">
        <v>3926909090</v>
      </c>
      <c r="D148" s="9" t="s">
        <v>344</v>
      </c>
      <c r="E148" s="29" t="s">
        <v>48</v>
      </c>
      <c r="F148" s="29" t="s">
        <v>49</v>
      </c>
      <c r="H148" s="14" t="s">
        <v>343</v>
      </c>
      <c r="J148" s="10" t="s">
        <v>50</v>
      </c>
      <c r="K148" s="10" t="s">
        <v>50</v>
      </c>
      <c r="L148" s="16" t="s">
        <v>50</v>
      </c>
      <c r="M148" s="10" t="e">
        <f t="shared" si="4"/>
        <v>#VALUE!</v>
      </c>
      <c r="N148" s="10" t="e">
        <f t="shared" si="5"/>
        <v>#VALUE!</v>
      </c>
      <c r="P148" s="16" t="s">
        <v>50</v>
      </c>
      <c r="Q148" s="17" t="s">
        <v>50</v>
      </c>
      <c r="R148" s="9" t="s">
        <v>50</v>
      </c>
      <c r="S148" s="9" t="s">
        <v>50</v>
      </c>
    </row>
    <row r="149" spans="1:19">
      <c r="A149" s="14" t="s">
        <v>345</v>
      </c>
      <c r="B149" s="10" t="s">
        <v>307</v>
      </c>
      <c r="C149" s="10">
        <v>3926909090</v>
      </c>
      <c r="D149" s="9" t="s">
        <v>346</v>
      </c>
      <c r="E149" s="29" t="s">
        <v>48</v>
      </c>
      <c r="F149" s="29" t="s">
        <v>49</v>
      </c>
      <c r="H149" s="14" t="s">
        <v>345</v>
      </c>
      <c r="I149" s="18">
        <v>1</v>
      </c>
      <c r="J149" s="10" t="s">
        <v>50</v>
      </c>
      <c r="K149" s="10" t="s">
        <v>50</v>
      </c>
      <c r="L149" s="16" t="s">
        <v>50</v>
      </c>
      <c r="M149" s="10" t="e">
        <f t="shared" si="4"/>
        <v>#VALUE!</v>
      </c>
      <c r="N149" s="10" t="e">
        <f t="shared" si="5"/>
        <v>#VALUE!</v>
      </c>
      <c r="P149" s="16" t="s">
        <v>50</v>
      </c>
      <c r="Q149" s="17" t="s">
        <v>50</v>
      </c>
      <c r="R149" s="9" t="s">
        <v>50</v>
      </c>
      <c r="S149" s="9" t="s">
        <v>50</v>
      </c>
    </row>
    <row r="150" spans="1:19">
      <c r="A150" s="14" t="s">
        <v>347</v>
      </c>
      <c r="B150" s="10" t="s">
        <v>307</v>
      </c>
      <c r="C150" s="10">
        <v>3926909090</v>
      </c>
      <c r="D150" s="9" t="s">
        <v>348</v>
      </c>
      <c r="E150" s="29" t="s">
        <v>48</v>
      </c>
      <c r="F150" s="29" t="s">
        <v>49</v>
      </c>
      <c r="H150" s="14" t="s">
        <v>347</v>
      </c>
      <c r="I150" s="10">
        <v>1</v>
      </c>
      <c r="J150" s="10" t="s">
        <v>50</v>
      </c>
      <c r="K150" s="10" t="s">
        <v>50</v>
      </c>
      <c r="L150" s="16" t="s">
        <v>50</v>
      </c>
      <c r="M150" s="10" t="e">
        <f t="shared" si="4"/>
        <v>#VALUE!</v>
      </c>
      <c r="N150" s="10" t="e">
        <f t="shared" si="5"/>
        <v>#VALUE!</v>
      </c>
      <c r="P150" s="16" t="s">
        <v>50</v>
      </c>
      <c r="Q150" s="17" t="s">
        <v>50</v>
      </c>
      <c r="R150" s="9" t="s">
        <v>50</v>
      </c>
      <c r="S150" s="9" t="s">
        <v>50</v>
      </c>
    </row>
    <row r="151" spans="1:19">
      <c r="A151" s="14" t="s">
        <v>349</v>
      </c>
      <c r="B151" s="10" t="s">
        <v>307</v>
      </c>
      <c r="C151" s="10">
        <v>3926909090</v>
      </c>
      <c r="D151" s="9" t="s">
        <v>350</v>
      </c>
      <c r="E151" s="29" t="s">
        <v>48</v>
      </c>
      <c r="F151" s="29" t="s">
        <v>49</v>
      </c>
      <c r="H151" s="14" t="s">
        <v>349</v>
      </c>
      <c r="I151" s="18">
        <v>1</v>
      </c>
      <c r="J151" s="10" t="s">
        <v>50</v>
      </c>
      <c r="K151" s="10" t="s">
        <v>50</v>
      </c>
      <c r="L151" s="16" t="s">
        <v>50</v>
      </c>
      <c r="M151" s="10" t="e">
        <f t="shared" si="4"/>
        <v>#VALUE!</v>
      </c>
      <c r="N151" s="10" t="e">
        <f t="shared" si="5"/>
        <v>#VALUE!</v>
      </c>
      <c r="P151" s="16" t="s">
        <v>50</v>
      </c>
      <c r="Q151" s="17" t="s">
        <v>50</v>
      </c>
      <c r="R151" s="9" t="s">
        <v>50</v>
      </c>
      <c r="S151" s="9" t="s">
        <v>50</v>
      </c>
    </row>
    <row r="152" spans="1:19">
      <c r="A152" s="14" t="s">
        <v>351</v>
      </c>
      <c r="B152" s="10" t="s">
        <v>307</v>
      </c>
      <c r="C152" s="10">
        <v>3926909090</v>
      </c>
      <c r="D152" s="9" t="s">
        <v>352</v>
      </c>
      <c r="E152" s="29" t="s">
        <v>48</v>
      </c>
      <c r="F152" s="29" t="s">
        <v>49</v>
      </c>
      <c r="H152" s="14" t="s">
        <v>351</v>
      </c>
      <c r="I152" s="10">
        <v>1</v>
      </c>
      <c r="J152" s="10" t="s">
        <v>50</v>
      </c>
      <c r="K152" s="10" t="s">
        <v>50</v>
      </c>
      <c r="L152" s="16" t="s">
        <v>50</v>
      </c>
      <c r="M152" s="10" t="e">
        <f t="shared" si="4"/>
        <v>#VALUE!</v>
      </c>
      <c r="N152" s="10" t="e">
        <f t="shared" si="5"/>
        <v>#VALUE!</v>
      </c>
      <c r="P152" s="16" t="s">
        <v>50</v>
      </c>
      <c r="Q152" s="17" t="s">
        <v>50</v>
      </c>
      <c r="R152" s="9" t="s">
        <v>50</v>
      </c>
      <c r="S152" s="9" t="s">
        <v>50</v>
      </c>
    </row>
    <row r="153" spans="1:19">
      <c r="A153" s="14" t="s">
        <v>353</v>
      </c>
      <c r="B153" s="10" t="s">
        <v>307</v>
      </c>
      <c r="C153" s="10">
        <v>3926909090</v>
      </c>
      <c r="D153" s="9" t="s">
        <v>354</v>
      </c>
      <c r="E153" s="29" t="s">
        <v>48</v>
      </c>
      <c r="F153" s="29" t="s">
        <v>49</v>
      </c>
      <c r="H153" s="14" t="s">
        <v>353</v>
      </c>
      <c r="I153" s="18">
        <v>1</v>
      </c>
      <c r="J153" s="10" t="s">
        <v>50</v>
      </c>
      <c r="K153" s="10" t="s">
        <v>50</v>
      </c>
      <c r="L153" s="16" t="s">
        <v>50</v>
      </c>
      <c r="M153" s="10" t="e">
        <f t="shared" si="4"/>
        <v>#VALUE!</v>
      </c>
      <c r="N153" s="10" t="e">
        <f t="shared" si="5"/>
        <v>#VALUE!</v>
      </c>
      <c r="P153" s="16" t="s">
        <v>50</v>
      </c>
      <c r="Q153" s="17" t="s">
        <v>50</v>
      </c>
      <c r="R153" s="9" t="s">
        <v>50</v>
      </c>
      <c r="S153" s="9" t="s">
        <v>50</v>
      </c>
    </row>
    <row r="154" spans="1:19">
      <c r="A154" s="14" t="s">
        <v>355</v>
      </c>
      <c r="B154" s="10" t="s">
        <v>307</v>
      </c>
      <c r="C154" s="10">
        <v>3926909090</v>
      </c>
      <c r="D154" s="9" t="s">
        <v>356</v>
      </c>
      <c r="E154" s="29" t="s">
        <v>48</v>
      </c>
      <c r="F154" s="29" t="s">
        <v>49</v>
      </c>
      <c r="H154" s="14" t="s">
        <v>355</v>
      </c>
      <c r="I154" s="10">
        <v>1</v>
      </c>
      <c r="J154" s="10" t="s">
        <v>50</v>
      </c>
      <c r="K154" s="10" t="s">
        <v>50</v>
      </c>
      <c r="L154" s="16" t="s">
        <v>50</v>
      </c>
      <c r="M154" s="10" t="e">
        <f t="shared" si="4"/>
        <v>#VALUE!</v>
      </c>
      <c r="N154" s="10" t="e">
        <f t="shared" si="5"/>
        <v>#VALUE!</v>
      </c>
      <c r="P154" s="16" t="s">
        <v>50</v>
      </c>
      <c r="Q154" s="17" t="s">
        <v>50</v>
      </c>
      <c r="R154" s="9" t="s">
        <v>50</v>
      </c>
      <c r="S154" s="9" t="s">
        <v>50</v>
      </c>
    </row>
    <row r="155" spans="1:19">
      <c r="A155" s="14" t="s">
        <v>357</v>
      </c>
      <c r="B155" s="10" t="s">
        <v>324</v>
      </c>
      <c r="C155" s="10">
        <v>3926909090</v>
      </c>
      <c r="D155" s="9" t="s">
        <v>358</v>
      </c>
      <c r="E155" s="29" t="s">
        <v>48</v>
      </c>
      <c r="F155" s="29" t="s">
        <v>49</v>
      </c>
      <c r="H155" s="14" t="s">
        <v>357</v>
      </c>
      <c r="I155" s="18">
        <v>1</v>
      </c>
      <c r="J155" s="10" t="s">
        <v>50</v>
      </c>
      <c r="K155" s="10" t="s">
        <v>50</v>
      </c>
      <c r="L155" s="16" t="s">
        <v>50</v>
      </c>
      <c r="M155" s="10" t="e">
        <f t="shared" si="4"/>
        <v>#VALUE!</v>
      </c>
      <c r="N155" s="10" t="e">
        <f t="shared" si="5"/>
        <v>#VALUE!</v>
      </c>
      <c r="P155" s="16" t="s">
        <v>50</v>
      </c>
      <c r="Q155" s="17" t="s">
        <v>50</v>
      </c>
      <c r="R155" s="9" t="s">
        <v>50</v>
      </c>
      <c r="S155" s="9" t="s">
        <v>50</v>
      </c>
    </row>
    <row r="156" spans="1:19">
      <c r="A156" s="14" t="s">
        <v>359</v>
      </c>
      <c r="B156" s="10" t="s">
        <v>324</v>
      </c>
      <c r="C156" s="10">
        <v>3926909090</v>
      </c>
      <c r="D156" s="9" t="s">
        <v>360</v>
      </c>
      <c r="E156" s="29" t="s">
        <v>48</v>
      </c>
      <c r="F156" s="29" t="s">
        <v>49</v>
      </c>
      <c r="H156" s="14" t="s">
        <v>359</v>
      </c>
      <c r="I156" s="10">
        <v>1</v>
      </c>
      <c r="J156" s="10" t="s">
        <v>50</v>
      </c>
      <c r="K156" s="10" t="s">
        <v>50</v>
      </c>
      <c r="L156" s="16" t="s">
        <v>50</v>
      </c>
      <c r="M156" s="10" t="e">
        <f t="shared" si="4"/>
        <v>#VALUE!</v>
      </c>
      <c r="N156" s="10" t="e">
        <f t="shared" si="5"/>
        <v>#VALUE!</v>
      </c>
      <c r="P156" s="16" t="s">
        <v>50</v>
      </c>
      <c r="Q156" s="17" t="s">
        <v>50</v>
      </c>
      <c r="R156" s="9" t="s">
        <v>50</v>
      </c>
      <c r="S156" s="9" t="s">
        <v>50</v>
      </c>
    </row>
    <row r="157" spans="1:19">
      <c r="A157" s="14" t="s">
        <v>361</v>
      </c>
      <c r="B157" s="10" t="s">
        <v>324</v>
      </c>
      <c r="C157" s="10">
        <v>3926909090</v>
      </c>
      <c r="D157" s="9" t="s">
        <v>362</v>
      </c>
      <c r="E157" s="29" t="s">
        <v>48</v>
      </c>
      <c r="F157" s="29" t="s">
        <v>49</v>
      </c>
      <c r="H157" s="14" t="s">
        <v>361</v>
      </c>
      <c r="I157" s="18">
        <v>1</v>
      </c>
      <c r="J157" s="10" t="s">
        <v>50</v>
      </c>
      <c r="K157" s="10" t="s">
        <v>50</v>
      </c>
      <c r="L157" s="16" t="s">
        <v>50</v>
      </c>
      <c r="M157" s="10" t="e">
        <f t="shared" si="4"/>
        <v>#VALUE!</v>
      </c>
      <c r="N157" s="10" t="e">
        <f t="shared" si="5"/>
        <v>#VALUE!</v>
      </c>
      <c r="P157" s="16" t="s">
        <v>50</v>
      </c>
      <c r="Q157" s="17" t="s">
        <v>50</v>
      </c>
      <c r="R157" s="9" t="s">
        <v>50</v>
      </c>
      <c r="S157" s="9" t="s">
        <v>50</v>
      </c>
    </row>
    <row r="158" spans="1:19">
      <c r="A158" s="14" t="s">
        <v>363</v>
      </c>
      <c r="B158" s="10" t="s">
        <v>324</v>
      </c>
      <c r="C158" s="10">
        <v>3926909090</v>
      </c>
      <c r="D158" s="9" t="s">
        <v>364</v>
      </c>
      <c r="E158" s="29" t="s">
        <v>48</v>
      </c>
      <c r="F158" s="29" t="s">
        <v>49</v>
      </c>
      <c r="H158" s="14" t="s">
        <v>363</v>
      </c>
      <c r="I158" s="10">
        <v>1</v>
      </c>
      <c r="J158" s="10" t="s">
        <v>50</v>
      </c>
      <c r="K158" s="10" t="s">
        <v>50</v>
      </c>
      <c r="L158" s="16" t="s">
        <v>50</v>
      </c>
      <c r="M158" s="10" t="e">
        <f t="shared" si="4"/>
        <v>#VALUE!</v>
      </c>
      <c r="N158" s="10" t="e">
        <f t="shared" si="5"/>
        <v>#VALUE!</v>
      </c>
      <c r="P158" s="16" t="s">
        <v>50</v>
      </c>
      <c r="Q158" s="17" t="s">
        <v>50</v>
      </c>
      <c r="R158" s="9" t="s">
        <v>50</v>
      </c>
      <c r="S158" s="9" t="s">
        <v>50</v>
      </c>
    </row>
    <row r="159" spans="1:19">
      <c r="A159" s="14" t="s">
        <v>365</v>
      </c>
      <c r="B159" s="10" t="s">
        <v>324</v>
      </c>
      <c r="C159" s="10">
        <v>3926909090</v>
      </c>
      <c r="D159" s="9" t="s">
        <v>366</v>
      </c>
      <c r="E159" s="29" t="s">
        <v>48</v>
      </c>
      <c r="F159" s="29" t="s">
        <v>49</v>
      </c>
      <c r="H159" s="14" t="s">
        <v>365</v>
      </c>
      <c r="I159" s="18">
        <v>1</v>
      </c>
      <c r="J159" s="10" t="s">
        <v>50</v>
      </c>
      <c r="K159" s="10" t="s">
        <v>50</v>
      </c>
      <c r="L159" s="16" t="s">
        <v>50</v>
      </c>
      <c r="M159" s="10" t="e">
        <f t="shared" si="4"/>
        <v>#VALUE!</v>
      </c>
      <c r="N159" s="10" t="e">
        <f t="shared" si="5"/>
        <v>#VALUE!</v>
      </c>
      <c r="P159" s="16" t="s">
        <v>50</v>
      </c>
      <c r="Q159" s="17" t="s">
        <v>50</v>
      </c>
      <c r="R159" s="9" t="s">
        <v>50</v>
      </c>
      <c r="S159" s="9" t="s">
        <v>50</v>
      </c>
    </row>
    <row r="160" spans="1:19">
      <c r="A160" s="14" t="s">
        <v>367</v>
      </c>
      <c r="B160" s="10" t="s">
        <v>324</v>
      </c>
      <c r="C160" s="10">
        <v>3926909090</v>
      </c>
      <c r="D160" s="9" t="s">
        <v>368</v>
      </c>
      <c r="E160" s="29" t="s">
        <v>48</v>
      </c>
      <c r="F160" s="29" t="s">
        <v>49</v>
      </c>
      <c r="H160" s="14" t="s">
        <v>367</v>
      </c>
      <c r="I160" s="10">
        <v>1</v>
      </c>
      <c r="J160" s="10" t="s">
        <v>50</v>
      </c>
      <c r="K160" s="10" t="s">
        <v>50</v>
      </c>
      <c r="L160" s="16" t="s">
        <v>50</v>
      </c>
      <c r="M160" s="10" t="e">
        <f t="shared" si="4"/>
        <v>#VALUE!</v>
      </c>
      <c r="N160" s="10" t="e">
        <f t="shared" si="5"/>
        <v>#VALUE!</v>
      </c>
      <c r="P160" s="16" t="s">
        <v>50</v>
      </c>
      <c r="Q160" s="17" t="s">
        <v>50</v>
      </c>
      <c r="R160" s="9" t="s">
        <v>50</v>
      </c>
      <c r="S160" s="9" t="s">
        <v>50</v>
      </c>
    </row>
    <row r="161" spans="1:19">
      <c r="A161" s="14" t="s">
        <v>369</v>
      </c>
      <c r="B161" s="10" t="s">
        <v>370</v>
      </c>
      <c r="C161" s="10">
        <v>3925900000</v>
      </c>
      <c r="D161" s="9" t="s">
        <v>371</v>
      </c>
      <c r="E161" s="30" t="s">
        <v>61</v>
      </c>
      <c r="F161" s="29" t="s">
        <v>49</v>
      </c>
      <c r="G161" s="10"/>
      <c r="H161" s="14" t="s">
        <v>369</v>
      </c>
      <c r="I161" s="18">
        <v>1</v>
      </c>
      <c r="J161" s="10" t="s">
        <v>50</v>
      </c>
      <c r="K161" s="10" t="s">
        <v>50</v>
      </c>
      <c r="L161" s="16" t="s">
        <v>50</v>
      </c>
      <c r="M161" s="10" t="e">
        <f t="shared" si="4"/>
        <v>#VALUE!</v>
      </c>
      <c r="N161" s="10" t="e">
        <f t="shared" si="5"/>
        <v>#VALUE!</v>
      </c>
      <c r="P161" s="16" t="s">
        <v>50</v>
      </c>
      <c r="Q161" s="17" t="s">
        <v>50</v>
      </c>
      <c r="R161" s="9" t="s">
        <v>50</v>
      </c>
      <c r="S161" s="9" t="s">
        <v>50</v>
      </c>
    </row>
    <row r="162" spans="1:19">
      <c r="A162" s="14" t="s">
        <v>372</v>
      </c>
      <c r="B162" s="10" t="s">
        <v>370</v>
      </c>
      <c r="C162" s="10">
        <v>3925900000</v>
      </c>
      <c r="D162" s="9" t="s">
        <v>373</v>
      </c>
      <c r="E162" s="30" t="s">
        <v>61</v>
      </c>
      <c r="F162" s="29" t="s">
        <v>49</v>
      </c>
      <c r="H162" s="14" t="s">
        <v>372</v>
      </c>
      <c r="I162" s="10">
        <v>1</v>
      </c>
      <c r="J162" s="10" t="s">
        <v>50</v>
      </c>
      <c r="K162" s="10" t="s">
        <v>50</v>
      </c>
      <c r="L162" s="16" t="s">
        <v>50</v>
      </c>
      <c r="M162" s="10" t="e">
        <f t="shared" si="4"/>
        <v>#VALUE!</v>
      </c>
      <c r="N162" s="10" t="e">
        <f t="shared" si="5"/>
        <v>#VALUE!</v>
      </c>
      <c r="P162" s="16" t="s">
        <v>50</v>
      </c>
      <c r="Q162" s="17" t="s">
        <v>50</v>
      </c>
      <c r="R162" s="9" t="s">
        <v>50</v>
      </c>
      <c r="S162" s="9" t="s">
        <v>50</v>
      </c>
    </row>
    <row r="163" spans="1:19">
      <c r="A163" s="14" t="s">
        <v>374</v>
      </c>
      <c r="B163" s="10" t="s">
        <v>370</v>
      </c>
      <c r="C163" s="10">
        <v>3925900000</v>
      </c>
      <c r="D163" s="9" t="s">
        <v>375</v>
      </c>
      <c r="E163" s="30" t="s">
        <v>61</v>
      </c>
      <c r="F163" s="29" t="s">
        <v>49</v>
      </c>
      <c r="H163" s="14" t="s">
        <v>374</v>
      </c>
      <c r="I163" s="18">
        <v>1</v>
      </c>
      <c r="J163" s="10" t="s">
        <v>50</v>
      </c>
      <c r="K163" s="10" t="s">
        <v>50</v>
      </c>
      <c r="L163" s="16" t="s">
        <v>50</v>
      </c>
      <c r="M163" s="10" t="e">
        <f t="shared" si="4"/>
        <v>#VALUE!</v>
      </c>
      <c r="N163" s="10" t="e">
        <f t="shared" si="5"/>
        <v>#VALUE!</v>
      </c>
      <c r="P163" s="16" t="s">
        <v>50</v>
      </c>
      <c r="Q163" s="17" t="s">
        <v>50</v>
      </c>
      <c r="R163" s="9" t="s">
        <v>50</v>
      </c>
      <c r="S163" s="9" t="s">
        <v>50</v>
      </c>
    </row>
    <row r="164" spans="1:19">
      <c r="A164" s="14" t="s">
        <v>376</v>
      </c>
      <c r="B164" s="10" t="s">
        <v>370</v>
      </c>
      <c r="C164" s="10">
        <v>3925900000</v>
      </c>
      <c r="D164" s="9" t="s">
        <v>377</v>
      </c>
      <c r="E164" s="30" t="s">
        <v>61</v>
      </c>
      <c r="F164" s="29" t="s">
        <v>49</v>
      </c>
      <c r="H164" s="14" t="s">
        <v>376</v>
      </c>
      <c r="I164" s="10">
        <v>1</v>
      </c>
      <c r="J164" s="10" t="s">
        <v>50</v>
      </c>
      <c r="K164" s="10" t="s">
        <v>50</v>
      </c>
      <c r="L164" s="16" t="s">
        <v>50</v>
      </c>
      <c r="M164" s="10" t="e">
        <f t="shared" si="4"/>
        <v>#VALUE!</v>
      </c>
      <c r="N164" s="10" t="e">
        <f t="shared" si="5"/>
        <v>#VALUE!</v>
      </c>
      <c r="P164" s="16" t="s">
        <v>50</v>
      </c>
      <c r="Q164" s="17" t="s">
        <v>50</v>
      </c>
      <c r="R164" s="9" t="s">
        <v>50</v>
      </c>
      <c r="S164" s="9" t="s">
        <v>50</v>
      </c>
    </row>
    <row r="165" spans="1:19">
      <c r="A165" s="14" t="s">
        <v>378</v>
      </c>
      <c r="B165" s="10" t="s">
        <v>370</v>
      </c>
      <c r="C165" s="10">
        <v>3925900000</v>
      </c>
      <c r="D165" s="9" t="s">
        <v>379</v>
      </c>
      <c r="E165" s="30" t="s">
        <v>61</v>
      </c>
      <c r="F165" s="29" t="s">
        <v>49</v>
      </c>
      <c r="H165" s="14" t="s">
        <v>378</v>
      </c>
      <c r="I165" s="18">
        <v>1</v>
      </c>
      <c r="J165" s="10" t="s">
        <v>50</v>
      </c>
      <c r="K165" s="10" t="s">
        <v>50</v>
      </c>
      <c r="L165" s="16" t="s">
        <v>50</v>
      </c>
      <c r="M165" s="10" t="e">
        <f t="shared" si="4"/>
        <v>#VALUE!</v>
      </c>
      <c r="N165" s="10" t="e">
        <f t="shared" si="5"/>
        <v>#VALUE!</v>
      </c>
      <c r="P165" s="16" t="s">
        <v>50</v>
      </c>
      <c r="Q165" s="17" t="s">
        <v>50</v>
      </c>
      <c r="R165" s="9" t="s">
        <v>50</v>
      </c>
      <c r="S165" s="9" t="s">
        <v>50</v>
      </c>
    </row>
    <row r="166" spans="1:19">
      <c r="A166" s="14" t="s">
        <v>380</v>
      </c>
      <c r="B166" s="10" t="s">
        <v>370</v>
      </c>
      <c r="C166" s="10">
        <v>3925900000</v>
      </c>
      <c r="D166" s="9" t="s">
        <v>381</v>
      </c>
      <c r="E166" s="30" t="s">
        <v>61</v>
      </c>
      <c r="F166" s="29" t="s">
        <v>49</v>
      </c>
      <c r="H166" s="14" t="s">
        <v>380</v>
      </c>
      <c r="I166" s="10">
        <v>1</v>
      </c>
      <c r="J166" s="10" t="s">
        <v>50</v>
      </c>
      <c r="K166" s="10" t="s">
        <v>50</v>
      </c>
      <c r="L166" s="16" t="s">
        <v>50</v>
      </c>
      <c r="M166" s="10" t="e">
        <f t="shared" si="4"/>
        <v>#VALUE!</v>
      </c>
      <c r="N166" s="10" t="e">
        <f t="shared" si="5"/>
        <v>#VALUE!</v>
      </c>
      <c r="P166" s="16" t="s">
        <v>50</v>
      </c>
      <c r="Q166" s="17" t="s">
        <v>50</v>
      </c>
      <c r="R166" s="9" t="s">
        <v>50</v>
      </c>
      <c r="S166" s="9" t="s">
        <v>50</v>
      </c>
    </row>
    <row r="167" spans="1:19">
      <c r="A167" s="14" t="s">
        <v>382</v>
      </c>
      <c r="B167" s="10" t="s">
        <v>370</v>
      </c>
      <c r="C167" s="10">
        <v>3925900000</v>
      </c>
      <c r="D167" s="9" t="s">
        <v>383</v>
      </c>
      <c r="E167" s="30" t="s">
        <v>61</v>
      </c>
      <c r="F167" s="29" t="s">
        <v>49</v>
      </c>
      <c r="H167" s="14" t="s">
        <v>382</v>
      </c>
      <c r="I167" s="18">
        <v>1</v>
      </c>
      <c r="J167" s="10" t="s">
        <v>50</v>
      </c>
      <c r="K167" s="10" t="s">
        <v>50</v>
      </c>
      <c r="L167" s="16" t="s">
        <v>50</v>
      </c>
      <c r="M167" s="10" t="e">
        <f t="shared" si="4"/>
        <v>#VALUE!</v>
      </c>
      <c r="N167" s="10" t="e">
        <f t="shared" si="5"/>
        <v>#VALUE!</v>
      </c>
      <c r="P167" s="16" t="s">
        <v>50</v>
      </c>
      <c r="Q167" s="17" t="s">
        <v>50</v>
      </c>
      <c r="R167" s="9" t="s">
        <v>50</v>
      </c>
      <c r="S167" s="9" t="s">
        <v>50</v>
      </c>
    </row>
    <row r="168" spans="1:19">
      <c r="A168" s="14" t="s">
        <v>384</v>
      </c>
      <c r="B168" s="10" t="s">
        <v>385</v>
      </c>
      <c r="C168" s="10">
        <v>3925900000</v>
      </c>
      <c r="D168" s="9" t="s">
        <v>386</v>
      </c>
      <c r="E168" s="30" t="s">
        <v>61</v>
      </c>
      <c r="F168" s="29" t="s">
        <v>49</v>
      </c>
      <c r="H168" s="14" t="s">
        <v>384</v>
      </c>
      <c r="I168" s="10">
        <v>1</v>
      </c>
      <c r="J168" s="10" t="s">
        <v>50</v>
      </c>
      <c r="K168" s="10" t="s">
        <v>50</v>
      </c>
      <c r="L168" s="16" t="s">
        <v>50</v>
      </c>
      <c r="M168" s="10" t="e">
        <f t="shared" si="4"/>
        <v>#VALUE!</v>
      </c>
      <c r="N168" s="10" t="e">
        <f t="shared" si="5"/>
        <v>#VALUE!</v>
      </c>
      <c r="P168" s="16" t="s">
        <v>50</v>
      </c>
      <c r="Q168" s="17" t="s">
        <v>50</v>
      </c>
      <c r="R168" s="9" t="s">
        <v>50</v>
      </c>
      <c r="S168" s="9" t="s">
        <v>50</v>
      </c>
    </row>
    <row r="169" spans="1:19">
      <c r="A169" s="14" t="s">
        <v>387</v>
      </c>
      <c r="B169" s="10" t="s">
        <v>385</v>
      </c>
      <c r="C169" s="10">
        <v>3925900000</v>
      </c>
      <c r="D169" s="9" t="s">
        <v>388</v>
      </c>
      <c r="E169" s="30" t="s">
        <v>61</v>
      </c>
      <c r="F169" s="29" t="s">
        <v>49</v>
      </c>
      <c r="H169" s="14" t="s">
        <v>387</v>
      </c>
      <c r="I169" s="18">
        <v>1</v>
      </c>
      <c r="J169" s="10" t="s">
        <v>50</v>
      </c>
      <c r="K169" s="10" t="s">
        <v>50</v>
      </c>
      <c r="L169" s="16" t="s">
        <v>50</v>
      </c>
      <c r="M169" s="10" t="e">
        <f t="shared" si="4"/>
        <v>#VALUE!</v>
      </c>
      <c r="N169" s="10" t="e">
        <f t="shared" si="5"/>
        <v>#VALUE!</v>
      </c>
      <c r="P169" s="16" t="s">
        <v>50</v>
      </c>
      <c r="Q169" s="17" t="s">
        <v>50</v>
      </c>
      <c r="R169" s="9" t="s">
        <v>50</v>
      </c>
      <c r="S169" s="9" t="s">
        <v>50</v>
      </c>
    </row>
    <row r="170" spans="1:19">
      <c r="A170" s="14" t="s">
        <v>389</v>
      </c>
      <c r="B170" s="10" t="s">
        <v>385</v>
      </c>
      <c r="C170" s="10">
        <v>3925900000</v>
      </c>
      <c r="D170" s="9" t="s">
        <v>390</v>
      </c>
      <c r="E170" s="30" t="s">
        <v>61</v>
      </c>
      <c r="F170" s="29" t="s">
        <v>49</v>
      </c>
      <c r="H170" s="14" t="s">
        <v>389</v>
      </c>
      <c r="I170" s="10">
        <v>1</v>
      </c>
      <c r="J170" s="10" t="s">
        <v>50</v>
      </c>
      <c r="K170" s="10" t="s">
        <v>50</v>
      </c>
      <c r="L170" s="16" t="s">
        <v>50</v>
      </c>
      <c r="M170" s="10" t="e">
        <f t="shared" si="4"/>
        <v>#VALUE!</v>
      </c>
      <c r="N170" s="10" t="e">
        <f t="shared" si="5"/>
        <v>#VALUE!</v>
      </c>
      <c r="P170" s="16" t="s">
        <v>50</v>
      </c>
      <c r="Q170" s="17" t="s">
        <v>50</v>
      </c>
      <c r="R170" s="9" t="s">
        <v>50</v>
      </c>
      <c r="S170" s="9" t="s">
        <v>50</v>
      </c>
    </row>
    <row r="171" spans="1:19">
      <c r="A171" s="14" t="s">
        <v>391</v>
      </c>
      <c r="B171" s="10" t="s">
        <v>385</v>
      </c>
      <c r="C171" s="10">
        <v>3925900000</v>
      </c>
      <c r="D171" s="9" t="s">
        <v>392</v>
      </c>
      <c r="E171" s="30" t="s">
        <v>61</v>
      </c>
      <c r="F171" s="29" t="s">
        <v>49</v>
      </c>
      <c r="H171" s="14" t="s">
        <v>391</v>
      </c>
      <c r="I171" s="18">
        <v>1</v>
      </c>
      <c r="J171" s="10" t="s">
        <v>50</v>
      </c>
      <c r="K171" s="10" t="s">
        <v>50</v>
      </c>
      <c r="L171" s="16" t="s">
        <v>50</v>
      </c>
      <c r="M171" s="10" t="e">
        <f t="shared" si="4"/>
        <v>#VALUE!</v>
      </c>
      <c r="N171" s="10" t="e">
        <f t="shared" si="5"/>
        <v>#VALUE!</v>
      </c>
      <c r="P171" s="16" t="s">
        <v>50</v>
      </c>
      <c r="Q171" s="17" t="s">
        <v>50</v>
      </c>
      <c r="R171" s="9" t="s">
        <v>50</v>
      </c>
      <c r="S171" s="9" t="s">
        <v>50</v>
      </c>
    </row>
    <row r="172" spans="1:19">
      <c r="A172" s="14" t="s">
        <v>393</v>
      </c>
      <c r="B172" s="10" t="s">
        <v>385</v>
      </c>
      <c r="C172" s="10">
        <v>3925900000</v>
      </c>
      <c r="D172" s="9" t="s">
        <v>394</v>
      </c>
      <c r="E172" s="30" t="s">
        <v>61</v>
      </c>
      <c r="F172" s="29" t="s">
        <v>49</v>
      </c>
      <c r="H172" s="14" t="s">
        <v>393</v>
      </c>
      <c r="I172" s="10">
        <v>1</v>
      </c>
      <c r="J172" s="10" t="s">
        <v>50</v>
      </c>
      <c r="K172" s="10" t="s">
        <v>50</v>
      </c>
      <c r="L172" s="16" t="s">
        <v>50</v>
      </c>
      <c r="M172" s="10" t="e">
        <f t="shared" si="4"/>
        <v>#VALUE!</v>
      </c>
      <c r="N172" s="10" t="e">
        <f t="shared" si="5"/>
        <v>#VALUE!</v>
      </c>
      <c r="P172" s="16" t="s">
        <v>50</v>
      </c>
      <c r="Q172" s="17" t="s">
        <v>50</v>
      </c>
      <c r="R172" s="9" t="s">
        <v>50</v>
      </c>
      <c r="S172" s="9" t="s">
        <v>50</v>
      </c>
    </row>
    <row r="173" spans="1:19">
      <c r="A173" s="14" t="s">
        <v>395</v>
      </c>
      <c r="B173" s="10" t="s">
        <v>385</v>
      </c>
      <c r="C173" s="10">
        <v>3925900000</v>
      </c>
      <c r="D173" s="9" t="s">
        <v>396</v>
      </c>
      <c r="E173" s="30" t="s">
        <v>61</v>
      </c>
      <c r="F173" s="29" t="s">
        <v>49</v>
      </c>
      <c r="H173" s="14" t="s">
        <v>395</v>
      </c>
      <c r="I173" s="18">
        <v>1</v>
      </c>
      <c r="J173" s="10" t="s">
        <v>50</v>
      </c>
      <c r="K173" s="10" t="s">
        <v>50</v>
      </c>
      <c r="L173" s="16" t="s">
        <v>50</v>
      </c>
      <c r="M173" s="10" t="e">
        <f t="shared" si="4"/>
        <v>#VALUE!</v>
      </c>
      <c r="N173" s="10" t="e">
        <f t="shared" si="5"/>
        <v>#VALUE!</v>
      </c>
      <c r="P173" s="16" t="s">
        <v>50</v>
      </c>
      <c r="Q173" s="17" t="s">
        <v>50</v>
      </c>
      <c r="R173" s="9" t="s">
        <v>50</v>
      </c>
      <c r="S173" s="9" t="s">
        <v>50</v>
      </c>
    </row>
    <row r="174" spans="1:19">
      <c r="A174" s="14" t="s">
        <v>397</v>
      </c>
      <c r="B174" s="10" t="s">
        <v>385</v>
      </c>
      <c r="C174" s="10">
        <v>3925900000</v>
      </c>
      <c r="D174" s="9" t="s">
        <v>398</v>
      </c>
      <c r="E174" s="30" t="s">
        <v>61</v>
      </c>
      <c r="F174" s="29" t="s">
        <v>49</v>
      </c>
      <c r="H174" s="14" t="s">
        <v>397</v>
      </c>
      <c r="I174" s="10">
        <v>1</v>
      </c>
      <c r="J174" s="10" t="s">
        <v>50</v>
      </c>
      <c r="K174" s="10" t="s">
        <v>50</v>
      </c>
      <c r="L174" s="16" t="s">
        <v>50</v>
      </c>
      <c r="M174" s="10" t="e">
        <f t="shared" si="4"/>
        <v>#VALUE!</v>
      </c>
      <c r="N174" s="10" t="e">
        <f t="shared" si="5"/>
        <v>#VALUE!</v>
      </c>
      <c r="P174" s="16" t="s">
        <v>50</v>
      </c>
      <c r="Q174" s="17" t="s">
        <v>50</v>
      </c>
      <c r="R174" s="9" t="s">
        <v>50</v>
      </c>
      <c r="S174" s="9" t="s">
        <v>50</v>
      </c>
    </row>
    <row r="175" spans="1:19">
      <c r="J175" s="10" t="str">
        <f>IFERROR(VLOOKUP(A175,'[1]3'!B:F,5,FALSE),"")</f>
        <v/>
      </c>
      <c r="R175" s="9" t="str">
        <f>IFERROR(VLOOKUP(A175,'[1]3'!B:R,17,FALSE),"")</f>
        <v/>
      </c>
      <c r="S175" s="9" t="str">
        <f>IFERROR(VLOOKUP(A175,'[1]3'!B:S,18,FALSE),"")</f>
        <v/>
      </c>
    </row>
    <row r="176" spans="1:19">
      <c r="J176" s="10" t="str">
        <f>IFERROR(VLOOKUP(A176,'[1]3'!B:F,5,FALSE),"")</f>
        <v/>
      </c>
      <c r="R176" s="9" t="str">
        <f>IFERROR(VLOOKUP(A176,'[1]3'!B:R,17,FALSE),"")</f>
        <v/>
      </c>
    </row>
    <row r="177" spans="8:18">
      <c r="J177" s="10" t="str">
        <f>IFERROR(VLOOKUP(A177,'[1]3'!B:F,5,FALSE),"")</f>
        <v/>
      </c>
      <c r="R177" s="9" t="str">
        <f>IFERROR(VLOOKUP(A177,'[1]3'!B:R,17,FALSE),"")</f>
        <v/>
      </c>
    </row>
    <row r="178" spans="8:18">
      <c r="J178" s="10" t="str">
        <f>IFERROR(VLOOKUP(A178,'[1]3'!B:F,5,FALSE),"")</f>
        <v/>
      </c>
      <c r="R178" s="9" t="str">
        <f>IFERROR(VLOOKUP(A178,'[1]3'!B:R,17,FALSE),"")</f>
        <v/>
      </c>
    </row>
    <row r="179" spans="8:18">
      <c r="J179" s="10" t="str">
        <f>IFERROR(VLOOKUP(A179,'[1]3'!B:F,5,FALSE),"")</f>
        <v/>
      </c>
      <c r="R179" s="9" t="str">
        <f>IFERROR(VLOOKUP(A179,'[1]3'!B:R,17,FALSE),"")</f>
        <v/>
      </c>
    </row>
    <row r="180" spans="8:18">
      <c r="H180" s="18"/>
      <c r="I180" s="20"/>
      <c r="J180" s="10" t="str">
        <f>IFERROR(VLOOKUP(A180,'[1]3'!B:F,5,FALSE),"")</f>
        <v/>
      </c>
      <c r="R180" s="9" t="str">
        <f>IFERROR(VLOOKUP(A180,'[1]3'!B:R,17,FALSE),"")</f>
        <v/>
      </c>
    </row>
    <row r="181" spans="8:18">
      <c r="J181" s="10" t="str">
        <f>IFERROR(VLOOKUP(A181,'[1]3'!B:F,5,FALSE),"")</f>
        <v/>
      </c>
      <c r="R181" s="9" t="str">
        <f>IFERROR(VLOOKUP(A181,'[1]3'!B:R,17,FALSE),"")</f>
        <v/>
      </c>
    </row>
    <row r="182" spans="8:18">
      <c r="H182" s="18"/>
      <c r="I182" s="20"/>
      <c r="J182" s="10" t="str">
        <f>IFERROR(VLOOKUP(A182,'[1]3'!B:F,5,FALSE),"")</f>
        <v/>
      </c>
      <c r="R182" s="9" t="str">
        <f>IFERROR(VLOOKUP(A182,'[1]3'!B:R,17,FALSE),"")</f>
        <v/>
      </c>
    </row>
    <row r="183" spans="8:18">
      <c r="J183" s="10" t="str">
        <f>IFERROR(VLOOKUP(A183,'[1]3'!B:F,5,FALSE),"")</f>
        <v/>
      </c>
      <c r="R183" s="9" t="str">
        <f>IFERROR(VLOOKUP(A183,'[1]3'!B:R,17,FALSE),"")</f>
        <v/>
      </c>
    </row>
    <row r="184" spans="8:18">
      <c r="H184" s="18"/>
      <c r="I184" s="20"/>
      <c r="J184" s="10" t="str">
        <f>IFERROR(VLOOKUP(A184,'[1]3'!B:F,5,FALSE),"")</f>
        <v/>
      </c>
      <c r="R184" s="9" t="str">
        <f>IFERROR(VLOOKUP(A184,'[1]3'!B:R,17,FALSE),"")</f>
        <v/>
      </c>
    </row>
    <row r="185" spans="8:18">
      <c r="J185" s="10" t="str">
        <f>IFERROR(VLOOKUP(A185,'[1]3'!B:F,5,FALSE),"")</f>
        <v/>
      </c>
      <c r="R185" s="9" t="str">
        <f>IFERROR(VLOOKUP(A185,'[1]3'!B:R,17,FALSE),"")</f>
        <v/>
      </c>
    </row>
    <row r="186" spans="8:18">
      <c r="H186" s="18"/>
      <c r="I186" s="20"/>
      <c r="J186" s="10" t="str">
        <f>IFERROR(VLOOKUP(A186,'[1]3'!B:F,5,FALSE),"")</f>
        <v/>
      </c>
    </row>
    <row r="187" spans="8:18">
      <c r="J187" s="10" t="str">
        <f>IFERROR(VLOOKUP(A187,'[1]3'!B:F,5,FALSE),"")</f>
        <v/>
      </c>
    </row>
    <row r="188" spans="8:18">
      <c r="H188" s="18"/>
      <c r="I188" s="20"/>
      <c r="J188" s="10" t="str">
        <f>IFERROR(VLOOKUP(A188,'[1]3'!B:F,5,FALSE),"")</f>
        <v/>
      </c>
    </row>
    <row r="189" spans="8:18">
      <c r="J189" s="10" t="str">
        <f>IFERROR(VLOOKUP(A189,'[1]3'!B:F,5,FALSE),"")</f>
        <v/>
      </c>
    </row>
    <row r="190" spans="8:18">
      <c r="H190" s="18"/>
      <c r="I190" s="20"/>
      <c r="J190" s="10" t="str">
        <f>IFERROR(VLOOKUP(A190,'[1]3'!B:F,5,FALSE),"")</f>
        <v/>
      </c>
    </row>
    <row r="191" spans="8:18">
      <c r="J191" s="10" t="str">
        <f>IFERROR(VLOOKUP(A191,'[1]3'!B:F,5,FALSE),"")</f>
        <v/>
      </c>
    </row>
    <row r="192" spans="8:18">
      <c r="H192" s="18"/>
      <c r="I192" s="20"/>
      <c r="J192" s="10" t="str">
        <f>IFERROR(VLOOKUP(A192,'[1]3'!B:F,5,FALSE),"")</f>
        <v/>
      </c>
    </row>
    <row r="193" spans="8:10">
      <c r="J193" s="10" t="str">
        <f>IFERROR(VLOOKUP(A193,'[1]3'!B:F,5,FALSE),"")</f>
        <v/>
      </c>
    </row>
    <row r="194" spans="8:10">
      <c r="H194" s="18"/>
      <c r="I194" s="20"/>
    </row>
    <row r="195" ht="16" customHeight="1"/>
    <row r="196" ht="16" customHeight="1" spans="8:10">
      <c r="H196" s="18"/>
      <c r="I196" s="20"/>
    </row>
    <row r="197" ht="16" customHeight="1"/>
    <row r="198" spans="8:10">
      <c r="H198" s="18"/>
      <c r="I198" s="20"/>
    </row>
    <row r="200" spans="8:10">
      <c r="H200" s="18"/>
      <c r="I200" s="20"/>
    </row>
    <row r="202" spans="8:10">
      <c r="H202" s="18"/>
      <c r="I202" s="20"/>
    </row>
    <row r="204" spans="8:10">
      <c r="H204" s="18"/>
      <c r="I204" s="20"/>
    </row>
    <row r="206" spans="8:10">
      <c r="H206" s="18"/>
      <c r="I206" s="20"/>
    </row>
    <row r="208" spans="8:10">
      <c r="H208" s="18"/>
      <c r="I208" s="20"/>
    </row>
    <row r="210" spans="1:9">
      <c r="H210" s="18"/>
      <c r="I210" s="20"/>
    </row>
    <row r="212" spans="1:9">
      <c r="H212" s="18"/>
      <c r="I212" s="20"/>
    </row>
    <row r="214" spans="1:9">
      <c r="H214" s="18"/>
      <c r="I214" s="20"/>
    </row>
    <row r="216" spans="1:9">
      <c r="H216" s="18"/>
      <c r="I216" s="20"/>
    </row>
    <row r="218" spans="1:9">
      <c r="H218" s="18"/>
      <c r="I218" s="20"/>
    </row>
    <row r="220" spans="1:9">
      <c r="H220" s="18"/>
      <c r="I220" s="20"/>
    </row>
    <row r="222" spans="1:9">
      <c r="A222" s="14"/>
      <c r="C222" s="10"/>
    </row>
    <row r="223" spans="1:9">
      <c r="A223" s="14"/>
    </row>
    <row r="224" spans="1:9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4"/>
    </row>
    <row r="338" spans="1:1">
      <c r="A338" s="14"/>
    </row>
    <row r="339" spans="1:1">
      <c r="A339" s="14"/>
    </row>
    <row r="340" spans="1:1">
      <c r="A340" s="14"/>
    </row>
    <row r="341" spans="1:1">
      <c r="A341" s="14"/>
    </row>
    <row r="342" spans="1:1">
      <c r="A342" s="14"/>
    </row>
    <row r="343" spans="1:1">
      <c r="A343" s="14"/>
    </row>
    <row r="344" spans="1:1">
      <c r="A344" s="14"/>
    </row>
    <row r="345" spans="1:1">
      <c r="A345" s="14"/>
    </row>
  </sheetData>
  <conditionalFormatting sqref="H145">
    <cfRule type="duplicateValues" dxfId="0" priority="3"/>
  </conditionalFormatting>
  <conditionalFormatting sqref="H148">
    <cfRule type="duplicateValues" dxfId="0" priority="1"/>
  </conditionalFormatting>
  <conditionalFormatting sqref="A2:A174">
    <cfRule type="duplicateValues" dxfId="0" priority="5"/>
  </conditionalFormatting>
  <conditionalFormatting sqref="A222:A357">
    <cfRule type="duplicateValues" dxfId="0" priority="6"/>
  </conditionalFormatting>
  <conditionalFormatting sqref="H98:H101">
    <cfRule type="duplicateValues" dxfId="0" priority="2"/>
  </conditionalFormatting>
  <conditionalFormatting sqref="H2:H97 H102:H144 H149:H174 H146:H147">
    <cfRule type="duplicateValues" dxfId="0" priority="4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8575"/>
  <sheetViews>
    <sheetView tabSelected="1" zoomScale="88" zoomScaleNormal="88" topLeftCell="A10" workbookViewId="0">
      <selection activeCell="K8" sqref="K8"/>
    </sheetView>
  </sheetViews>
  <sheetFormatPr defaultColWidth="9.64285714285714" defaultRowHeight="17.6"/>
  <cols>
    <col min="1" max="4" width="16.2053571428571" style="3" customWidth="1"/>
    <col min="5" max="5" width="73.9285714285714" style="3" customWidth="1"/>
    <col min="6" max="6" width="79.4732142857143" style="1" customWidth="1"/>
    <col min="7" max="7" width="9.57142857142857" style="1" customWidth="1"/>
    <col min="8" max="10" width="9.64285714285714" style="1"/>
    <col min="11" max="11" width="11.5714285714286" style="1" customWidth="1"/>
    <col min="12" max="16379" width="9.64285714285714" style="1"/>
    <col min="16380" max="16384" width="9.64285714285714" style="2"/>
  </cols>
  <sheetData>
    <row r="1" s="1" customFormat="1" spans="1:11">
      <c r="A1" s="4" t="s">
        <v>20</v>
      </c>
      <c r="B1" s="4" t="s">
        <v>399</v>
      </c>
      <c r="C1" s="4" t="s">
        <v>400</v>
      </c>
      <c r="D1" s="4" t="s">
        <v>401</v>
      </c>
      <c r="E1" s="4" t="s">
        <v>402</v>
      </c>
      <c r="F1" s="1" t="s">
        <v>403</v>
      </c>
      <c r="G1" s="1" t="s">
        <v>29</v>
      </c>
      <c r="H1" s="1" t="s">
        <v>30</v>
      </c>
      <c r="I1" s="1" t="s">
        <v>404</v>
      </c>
      <c r="J1" s="1" t="s">
        <v>405</v>
      </c>
      <c r="K1" s="1" t="s">
        <v>406</v>
      </c>
    </row>
    <row r="2" s="1" customFormat="1" ht="16.8" spans="1:11">
      <c r="A2" s="5" t="s">
        <v>407</v>
      </c>
      <c r="B2" s="5" t="s">
        <v>408</v>
      </c>
      <c r="C2" s="5" t="s">
        <v>409</v>
      </c>
      <c r="D2" s="5">
        <v>92408</v>
      </c>
      <c r="E2" s="5" t="s">
        <v>410</v>
      </c>
      <c r="F2" s="1" t="str">
        <f>B2&amp;"-"&amp;E2&amp;","&amp;C2&amp;D2&amp;"- United States"</f>
        <v>SBD2-1494 S Waterman Ave, San Bernardino, CA92408- United States</v>
      </c>
      <c r="G2" s="6" t="s">
        <v>411</v>
      </c>
      <c r="H2" s="6" t="s">
        <v>411</v>
      </c>
      <c r="I2" s="1" t="s">
        <v>412</v>
      </c>
      <c r="J2" s="1" t="s">
        <v>413</v>
      </c>
      <c r="K2" s="1" t="str">
        <f>I2&amp;"  "&amp;J2</f>
        <v>XXX  USA</v>
      </c>
    </row>
    <row r="3" s="1" customFormat="1" ht="16.8" spans="1:11">
      <c r="A3" s="5" t="s">
        <v>407</v>
      </c>
      <c r="B3" s="5" t="s">
        <v>414</v>
      </c>
      <c r="C3" s="5" t="s">
        <v>415</v>
      </c>
      <c r="D3" s="5" t="s">
        <v>416</v>
      </c>
      <c r="E3" s="5" t="s">
        <v>417</v>
      </c>
      <c r="F3" s="1" t="str">
        <f t="shared" ref="F3:F66" si="0">B3&amp;"-"&amp;E3&amp;","&amp;C3&amp;D3&amp;"- United States"</f>
        <v>PSC2-1351 S Road 40 E,WA99301- United States</v>
      </c>
      <c r="G3" s="6" t="s">
        <v>411</v>
      </c>
      <c r="H3" s="6" t="s">
        <v>411</v>
      </c>
    </row>
    <row r="4" s="1" customFormat="1" ht="16.8" spans="1:11">
      <c r="A4" s="5" t="s">
        <v>407</v>
      </c>
      <c r="B4" s="5" t="s">
        <v>418</v>
      </c>
      <c r="C4" s="5" t="s">
        <v>415</v>
      </c>
      <c r="D4" s="5" t="s">
        <v>419</v>
      </c>
      <c r="E4" s="5" t="s">
        <v>420</v>
      </c>
      <c r="F4" s="1" t="str">
        <f t="shared" si="0"/>
        <v>GEG2-18007 E Garland Ave,WA99216-6102- United States</v>
      </c>
      <c r="G4" s="6" t="s">
        <v>411</v>
      </c>
      <c r="H4" s="6" t="s">
        <v>411</v>
      </c>
    </row>
    <row r="5" s="1" customFormat="1" ht="16.8" spans="1:11">
      <c r="A5" s="5" t="s">
        <v>407</v>
      </c>
      <c r="B5" s="5" t="s">
        <v>421</v>
      </c>
      <c r="C5" s="5" t="s">
        <v>415</v>
      </c>
      <c r="D5" s="5" t="s">
        <v>422</v>
      </c>
      <c r="E5" s="5" t="s">
        <v>423</v>
      </c>
      <c r="F5" s="1" t="str">
        <f t="shared" si="0"/>
        <v>BFI1-1800 140th Avenue E.,WA98390- United States</v>
      </c>
      <c r="G5" s="6" t="s">
        <v>411</v>
      </c>
      <c r="H5" s="6" t="s">
        <v>411</v>
      </c>
    </row>
    <row r="6" s="1" customFormat="1" ht="16.8" spans="1:11">
      <c r="A6" s="5" t="s">
        <v>407</v>
      </c>
      <c r="B6" s="5" t="s">
        <v>424</v>
      </c>
      <c r="C6" s="5" t="s">
        <v>415</v>
      </c>
      <c r="D6" s="5" t="s">
        <v>422</v>
      </c>
      <c r="E6" s="5" t="s">
        <v>425</v>
      </c>
      <c r="F6" s="1" t="str">
        <f t="shared" si="0"/>
        <v>BFI7-1901 140th Ave E,WA98390- United States</v>
      </c>
      <c r="G6" s="6" t="s">
        <v>411</v>
      </c>
      <c r="H6" s="6" t="s">
        <v>411</v>
      </c>
    </row>
    <row r="7" s="1" customFormat="1" ht="16.8" spans="1:11">
      <c r="A7" s="5" t="s">
        <v>407</v>
      </c>
      <c r="B7" s="5" t="s">
        <v>426</v>
      </c>
      <c r="C7" s="5" t="s">
        <v>415</v>
      </c>
      <c r="D7" s="5" t="s">
        <v>427</v>
      </c>
      <c r="E7" s="5" t="s">
        <v>428</v>
      </c>
      <c r="F7" s="1" t="str">
        <f t="shared" si="0"/>
        <v>BFI3-2700 Center Drive,WA98327-9607- United States</v>
      </c>
      <c r="G7" s="6" t="s">
        <v>411</v>
      </c>
      <c r="H7" s="6" t="s">
        <v>411</v>
      </c>
    </row>
    <row r="8" s="1" customFormat="1" ht="16.8" spans="1:11">
      <c r="A8" s="5" t="s">
        <v>407</v>
      </c>
      <c r="B8" s="5" t="s">
        <v>429</v>
      </c>
      <c r="C8" s="5" t="s">
        <v>415</v>
      </c>
      <c r="D8" s="5" t="s">
        <v>430</v>
      </c>
      <c r="E8" s="5" t="s">
        <v>431</v>
      </c>
      <c r="F8" s="1" t="str">
        <f t="shared" si="0"/>
        <v>BFI9-3230 INTERNATIONAL PL, DUPONT,WA98327-7707- United States</v>
      </c>
      <c r="G8" s="6" t="s">
        <v>411</v>
      </c>
      <c r="H8" s="6" t="s">
        <v>411</v>
      </c>
    </row>
    <row r="9" s="1" customFormat="1" ht="16.8" spans="1:11">
      <c r="A9" s="5" t="s">
        <v>407</v>
      </c>
      <c r="B9" s="5" t="s">
        <v>432</v>
      </c>
      <c r="C9" s="5" t="s">
        <v>415</v>
      </c>
      <c r="D9" s="5" t="s">
        <v>433</v>
      </c>
      <c r="E9" s="5" t="s">
        <v>434</v>
      </c>
      <c r="F9" s="1" t="str">
        <f t="shared" si="0"/>
        <v>BFI4-21005 64th Ave S,WA98032- United States</v>
      </c>
      <c r="G9" s="6" t="s">
        <v>411</v>
      </c>
      <c r="H9" s="6" t="s">
        <v>411</v>
      </c>
    </row>
    <row r="10" s="1" customFormat="1" ht="16.8" spans="1:11">
      <c r="A10" s="5" t="s">
        <v>407</v>
      </c>
      <c r="B10" s="5" t="s">
        <v>435</v>
      </c>
      <c r="C10" s="5" t="s">
        <v>436</v>
      </c>
      <c r="D10" s="5" t="s">
        <v>437</v>
      </c>
      <c r="E10" s="5" t="s">
        <v>438</v>
      </c>
      <c r="F10" s="1" t="str">
        <f t="shared" si="0"/>
        <v>PDX7-4775 Depot Ct SE,OR97317- United States</v>
      </c>
      <c r="G10" s="6" t="s">
        <v>411</v>
      </c>
      <c r="H10" s="6" t="s">
        <v>411</v>
      </c>
    </row>
    <row r="11" s="1" customFormat="1" ht="16.8" spans="1:11">
      <c r="A11" s="5" t="s">
        <v>407</v>
      </c>
      <c r="B11" s="5" t="s">
        <v>439</v>
      </c>
      <c r="C11" s="5" t="s">
        <v>436</v>
      </c>
      <c r="D11" s="5" t="s">
        <v>440</v>
      </c>
      <c r="E11" s="5" t="s">
        <v>441</v>
      </c>
      <c r="F11" s="1" t="str">
        <f t="shared" si="0"/>
        <v>PSC2-UPS-9930 NE Alderwood Rd,OR97242- United States</v>
      </c>
      <c r="G11" s="6" t="s">
        <v>411</v>
      </c>
      <c r="H11" s="6" t="s">
        <v>411</v>
      </c>
    </row>
    <row r="12" s="1" customFormat="1" ht="16.8" spans="1:11">
      <c r="A12" s="5" t="s">
        <v>407</v>
      </c>
      <c r="B12" s="5" t="s">
        <v>442</v>
      </c>
      <c r="C12" s="5" t="s">
        <v>436</v>
      </c>
      <c r="D12" s="5" t="s">
        <v>443</v>
      </c>
      <c r="E12" s="5" t="s">
        <v>444</v>
      </c>
      <c r="F12" s="1" t="str">
        <f t="shared" si="0"/>
        <v>PDX6-15000 N. Lombard St,OR97203- United States</v>
      </c>
      <c r="G12" s="6" t="s">
        <v>411</v>
      </c>
      <c r="H12" s="6" t="s">
        <v>411</v>
      </c>
    </row>
    <row r="13" s="1" customFormat="1" ht="16.8" spans="1:11">
      <c r="A13" s="5" t="s">
        <v>407</v>
      </c>
      <c r="B13" s="5" t="s">
        <v>445</v>
      </c>
      <c r="C13" s="5" t="s">
        <v>446</v>
      </c>
      <c r="D13" s="5" t="s">
        <v>447</v>
      </c>
      <c r="E13" s="5" t="s">
        <v>448</v>
      </c>
      <c r="F13" s="1" t="str">
        <f t="shared" si="0"/>
        <v>SMF6-6900 AIRPORT BLVD City SACRAMENTO ,CA 95837-1109- United States</v>
      </c>
      <c r="G13" s="6" t="s">
        <v>411</v>
      </c>
      <c r="H13" s="6" t="s">
        <v>411</v>
      </c>
    </row>
    <row r="14" s="1" customFormat="1" ht="16.8" spans="1:11">
      <c r="A14" s="5" t="s">
        <v>407</v>
      </c>
      <c r="B14" s="5" t="s">
        <v>449</v>
      </c>
      <c r="C14" s="5" t="s">
        <v>450</v>
      </c>
      <c r="D14" s="5" t="s">
        <v>451</v>
      </c>
      <c r="E14" s="5" t="s">
        <v>452</v>
      </c>
      <c r="F14" s="1" t="str">
        <f t="shared" si="0"/>
        <v>SMF1-4900 W Elkhorn Blvd,CA95835-9505- United States</v>
      </c>
      <c r="G14" s="6" t="s">
        <v>411</v>
      </c>
      <c r="H14" s="6" t="s">
        <v>411</v>
      </c>
    </row>
    <row r="15" s="1" customFormat="1" ht="16.8" spans="1:11">
      <c r="A15" s="5" t="s">
        <v>407</v>
      </c>
      <c r="B15" s="5" t="s">
        <v>453</v>
      </c>
      <c r="C15" s="5" t="s">
        <v>450</v>
      </c>
      <c r="D15" s="5" t="s">
        <v>454</v>
      </c>
      <c r="E15" s="5" t="s">
        <v>455</v>
      </c>
      <c r="F15" s="1" t="str">
        <f t="shared" si="0"/>
        <v>MCC1-3300 Rancho Cordova Pkwy,CA95742- United States</v>
      </c>
      <c r="G15" s="6" t="s">
        <v>411</v>
      </c>
      <c r="H15" s="6" t="s">
        <v>411</v>
      </c>
    </row>
    <row r="16" s="1" customFormat="1" ht="16.8" spans="1:11">
      <c r="A16" s="5" t="s">
        <v>407</v>
      </c>
      <c r="B16" s="5" t="s">
        <v>456</v>
      </c>
      <c r="C16" s="5" t="s">
        <v>450</v>
      </c>
      <c r="D16" s="5" t="s">
        <v>457</v>
      </c>
      <c r="E16" s="5" t="s">
        <v>458</v>
      </c>
      <c r="F16" s="1" t="str">
        <f t="shared" si="0"/>
        <v>SMF7-4800 MIDDAY ROAD,CA95688-9626- United States</v>
      </c>
      <c r="G16" s="6" t="s">
        <v>411</v>
      </c>
      <c r="H16" s="6" t="s">
        <v>411</v>
      </c>
    </row>
    <row r="17" s="1" customFormat="1" ht="16.8" spans="1:8">
      <c r="A17" s="5" t="s">
        <v>407</v>
      </c>
      <c r="B17" s="5" t="s">
        <v>459</v>
      </c>
      <c r="C17" s="5" t="s">
        <v>450</v>
      </c>
      <c r="D17" s="5" t="s">
        <v>460</v>
      </c>
      <c r="E17" s="5" t="s">
        <v>461</v>
      </c>
      <c r="F17" s="1" t="str">
        <f t="shared" si="0"/>
        <v>MCE1-3200 Fulkerth Rd, Turlock,CA95380- United States</v>
      </c>
      <c r="G17" s="6" t="s">
        <v>411</v>
      </c>
      <c r="H17" s="6" t="s">
        <v>411</v>
      </c>
    </row>
    <row r="18" s="1" customFormat="1" ht="16.8" spans="1:8">
      <c r="A18" s="5" t="s">
        <v>407</v>
      </c>
      <c r="B18" s="5" t="s">
        <v>462</v>
      </c>
      <c r="C18" s="5" t="s">
        <v>450</v>
      </c>
      <c r="D18" s="5" t="s">
        <v>463</v>
      </c>
      <c r="E18" s="5" t="s">
        <v>464</v>
      </c>
      <c r="F18" s="1" t="str">
        <f t="shared" si="0"/>
        <v>SJC7-188 Mountain House Parkway,CA95377-8906- United States</v>
      </c>
      <c r="G18" s="6" t="s">
        <v>411</v>
      </c>
      <c r="H18" s="6" t="s">
        <v>411</v>
      </c>
    </row>
    <row r="19" s="1" customFormat="1" ht="16.8" spans="1:8">
      <c r="A19" s="5" t="s">
        <v>407</v>
      </c>
      <c r="B19" s="5" t="s">
        <v>465</v>
      </c>
      <c r="C19" s="5" t="s">
        <v>450</v>
      </c>
      <c r="D19" s="5" t="s">
        <v>466</v>
      </c>
      <c r="E19" s="5" t="s">
        <v>467</v>
      </c>
      <c r="F19" s="1" t="str">
        <f t="shared" si="0"/>
        <v>OAK3-255 Park Center Drive,CA95363-8876- United States</v>
      </c>
      <c r="G19" s="6" t="s">
        <v>411</v>
      </c>
      <c r="H19" s="6" t="s">
        <v>411</v>
      </c>
    </row>
    <row r="20" s="1" customFormat="1" ht="16.8" spans="1:8">
      <c r="A20" s="5" t="s">
        <v>407</v>
      </c>
      <c r="B20" s="5" t="s">
        <v>468</v>
      </c>
      <c r="C20" s="5" t="s">
        <v>450</v>
      </c>
      <c r="D20" s="5" t="s">
        <v>469</v>
      </c>
      <c r="E20" s="5" t="s">
        <v>470</v>
      </c>
      <c r="F20" s="1" t="str">
        <f t="shared" si="0"/>
        <v>SCK3-3565 N AIRPORT WAY,CA95336-8696- United States</v>
      </c>
      <c r="G20" s="6" t="s">
        <v>411</v>
      </c>
      <c r="H20" s="6" t="s">
        <v>411</v>
      </c>
    </row>
    <row r="21" s="1" customFormat="1" ht="16.8" spans="1:8">
      <c r="A21" s="5" t="s">
        <v>407</v>
      </c>
      <c r="B21" s="5" t="s">
        <v>471</v>
      </c>
      <c r="C21" s="5" t="s">
        <v>450</v>
      </c>
      <c r="D21" s="5" t="s">
        <v>472</v>
      </c>
      <c r="E21" s="5" t="s">
        <v>473</v>
      </c>
      <c r="F21" s="1" t="str">
        <f t="shared" si="0"/>
        <v>SCK1-4532 NEWCASTLE RD,CA95215-9465- United States</v>
      </c>
      <c r="G21" s="6" t="s">
        <v>411</v>
      </c>
      <c r="H21" s="6" t="s">
        <v>411</v>
      </c>
    </row>
    <row r="22" s="1" customFormat="1" ht="16.8" spans="1:8">
      <c r="A22" s="5" t="s">
        <v>407</v>
      </c>
      <c r="B22" s="5" t="s">
        <v>474</v>
      </c>
      <c r="C22" s="5" t="s">
        <v>450</v>
      </c>
      <c r="D22" s="5" t="s">
        <v>475</v>
      </c>
      <c r="E22" s="5" t="s">
        <v>476</v>
      </c>
      <c r="F22" s="1" t="str">
        <f t="shared" si="0"/>
        <v>SCK4-SCK4 - 6001 S AUSTIN RD 95215-8354 - STOCKTON,CA95215- United States</v>
      </c>
      <c r="G22" s="6" t="s">
        <v>411</v>
      </c>
      <c r="H22" s="6" t="s">
        <v>411</v>
      </c>
    </row>
    <row r="23" s="1" customFormat="1" ht="16.8" spans="1:8">
      <c r="A23" s="5" t="s">
        <v>407</v>
      </c>
      <c r="B23" s="5" t="s">
        <v>477</v>
      </c>
      <c r="C23" s="5" t="s">
        <v>450</v>
      </c>
      <c r="D23" s="5" t="s">
        <v>475</v>
      </c>
      <c r="E23" s="5" t="s">
        <v>473</v>
      </c>
      <c r="F23" s="1" t="str">
        <f t="shared" si="0"/>
        <v>QXY5-4532 NEWCASTLE RD,CA95215- United States</v>
      </c>
      <c r="G23" s="6" t="s">
        <v>411</v>
      </c>
      <c r="H23" s="6" t="s">
        <v>411</v>
      </c>
    </row>
    <row r="24" s="1" customFormat="1" ht="16.8" spans="1:8">
      <c r="A24" s="5" t="s">
        <v>407</v>
      </c>
      <c r="B24" s="5" t="s">
        <v>478</v>
      </c>
      <c r="C24" s="5" t="s">
        <v>450</v>
      </c>
      <c r="D24" s="5" t="s">
        <v>475</v>
      </c>
      <c r="E24" s="5" t="s">
        <v>479</v>
      </c>
      <c r="F24" s="1" t="str">
        <f t="shared" si="0"/>
        <v>TCY2-6201 Newcastle Rd,CA95215- United States</v>
      </c>
      <c r="G24" s="6" t="s">
        <v>411</v>
      </c>
      <c r="H24" s="6" t="s">
        <v>411</v>
      </c>
    </row>
    <row r="25" s="1" customFormat="1" ht="16.8" spans="1:8">
      <c r="A25" s="5" t="s">
        <v>407</v>
      </c>
      <c r="B25" s="5" t="s">
        <v>480</v>
      </c>
      <c r="C25" s="5" t="s">
        <v>450</v>
      </c>
      <c r="D25" s="5" t="s">
        <v>481</v>
      </c>
      <c r="E25" s="5" t="s">
        <v>482</v>
      </c>
      <c r="F25" s="1" t="str">
        <f t="shared" si="0"/>
        <v>SMF3-3923 S B ST,CA95206-8202- United States</v>
      </c>
      <c r="G25" s="6" t="s">
        <v>411</v>
      </c>
      <c r="H25" s="6" t="s">
        <v>411</v>
      </c>
    </row>
    <row r="26" s="1" customFormat="1" ht="16.8" spans="1:8">
      <c r="A26" s="5" t="s">
        <v>407</v>
      </c>
      <c r="B26" s="5" t="s">
        <v>483</v>
      </c>
      <c r="C26" s="5" t="s">
        <v>450</v>
      </c>
      <c r="D26" s="5" t="s">
        <v>484</v>
      </c>
      <c r="E26" s="5" t="s">
        <v>485</v>
      </c>
      <c r="F26" s="1" t="str">
        <f t="shared" si="0"/>
        <v>TCY1-2690 East Arch Airport Road,CA95206- United States</v>
      </c>
      <c r="G26" s="6" t="s">
        <v>411</v>
      </c>
      <c r="H26" s="6" t="s">
        <v>411</v>
      </c>
    </row>
    <row r="27" s="1" customFormat="1" ht="16.8" spans="1:8">
      <c r="A27" s="5" t="s">
        <v>407</v>
      </c>
      <c r="B27" s="5" t="s">
        <v>486</v>
      </c>
      <c r="C27" s="5" t="s">
        <v>450</v>
      </c>
      <c r="D27" s="5" t="s">
        <v>487</v>
      </c>
      <c r="E27" s="5" t="s">
        <v>488</v>
      </c>
      <c r="F27" s="1" t="str">
        <f t="shared" si="0"/>
        <v>HLI2-600 Ernie Drive 95023,CA95023- United States</v>
      </c>
      <c r="G27" s="6" t="s">
        <v>411</v>
      </c>
      <c r="H27" s="6" t="s">
        <v>411</v>
      </c>
    </row>
    <row r="28" s="1" customFormat="1" ht="16.8" spans="1:8">
      <c r="A28" s="5" t="s">
        <v>407</v>
      </c>
      <c r="B28" s="5" t="s">
        <v>489</v>
      </c>
      <c r="C28" s="5" t="s">
        <v>450</v>
      </c>
      <c r="D28" s="5" t="s">
        <v>490</v>
      </c>
      <c r="E28" s="5" t="s">
        <v>491</v>
      </c>
      <c r="F28" s="1" t="str">
        <f t="shared" si="0"/>
        <v>HLI2-UPS-8410 PARDEE DR.,CA94621- United States</v>
      </c>
      <c r="G28" s="6" t="s">
        <v>411</v>
      </c>
      <c r="H28" s="6" t="s">
        <v>411</v>
      </c>
    </row>
    <row r="29" s="1" customFormat="1" ht="16.8" spans="1:8">
      <c r="A29" s="5" t="s">
        <v>407</v>
      </c>
      <c r="B29" s="5" t="s">
        <v>492</v>
      </c>
      <c r="C29" s="5" t="s">
        <v>450</v>
      </c>
      <c r="D29" s="5" t="s">
        <v>490</v>
      </c>
      <c r="E29" s="5" t="s">
        <v>493</v>
      </c>
      <c r="F29" s="1" t="str">
        <f t="shared" si="0"/>
        <v>SCK8-UPS-SCK8 via UPS Oakand,8436 Pardee Dr, Oakland,CA94621- United States</v>
      </c>
      <c r="G29" s="6" t="s">
        <v>411</v>
      </c>
      <c r="H29" s="6" t="s">
        <v>411</v>
      </c>
    </row>
    <row r="30" s="1" customFormat="1" ht="16.8" spans="1:8">
      <c r="A30" s="5" t="s">
        <v>407</v>
      </c>
      <c r="B30" s="5" t="s">
        <v>494</v>
      </c>
      <c r="C30" s="5" t="s">
        <v>495</v>
      </c>
      <c r="D30" s="5" t="s">
        <v>496</v>
      </c>
      <c r="E30" s="5" t="s">
        <v>497</v>
      </c>
      <c r="F30" s="1" t="str">
        <f t="shared" si="0"/>
        <v>SCK8-4700 WILBUR AVE,AVE94561- United States</v>
      </c>
      <c r="G30" s="6" t="s">
        <v>411</v>
      </c>
      <c r="H30" s="6" t="s">
        <v>411</v>
      </c>
    </row>
    <row r="31" s="1" customFormat="1" ht="16.8" spans="1:8">
      <c r="A31" s="5" t="s">
        <v>407</v>
      </c>
      <c r="B31" s="5" t="s">
        <v>498</v>
      </c>
      <c r="C31" s="5" t="s">
        <v>450</v>
      </c>
      <c r="D31" s="5" t="s">
        <v>499</v>
      </c>
      <c r="E31" s="5" t="s">
        <v>500</v>
      </c>
      <c r="F31" s="1" t="str">
        <f t="shared" si="0"/>
        <v>QXY8-3611 S NORTHPOINTE DR,CA93725-1962- United States</v>
      </c>
      <c r="G31" s="6" t="s">
        <v>411</v>
      </c>
      <c r="H31" s="6" t="s">
        <v>411</v>
      </c>
    </row>
    <row r="32" s="1" customFormat="1" ht="16.8" spans="1:8">
      <c r="A32" s="5" t="s">
        <v>407</v>
      </c>
      <c r="B32" s="5" t="s">
        <v>501</v>
      </c>
      <c r="C32" s="5" t="s">
        <v>450</v>
      </c>
      <c r="D32" s="5" t="s">
        <v>502</v>
      </c>
      <c r="E32" s="5" t="s">
        <v>503</v>
      </c>
      <c r="F32" s="1" t="str">
        <f t="shared" si="0"/>
        <v>BFL1-1601 Petrol Road,CA93308-9755- United States</v>
      </c>
      <c r="G32" s="6" t="s">
        <v>411</v>
      </c>
      <c r="H32" s="6" t="s">
        <v>411</v>
      </c>
    </row>
    <row r="33" s="1" customFormat="1" ht="16.8" spans="1:8">
      <c r="A33" s="5" t="s">
        <v>407</v>
      </c>
      <c r="B33" s="5" t="s">
        <v>504</v>
      </c>
      <c r="C33" s="5" t="s">
        <v>450</v>
      </c>
      <c r="D33" s="5" t="s">
        <v>505</v>
      </c>
      <c r="E33" s="5" t="s">
        <v>506</v>
      </c>
      <c r="F33" s="1" t="str">
        <f t="shared" si="0"/>
        <v>FAT2-3315 N Kelsey St, Visalia,CA93291- United States</v>
      </c>
      <c r="G33" s="6" t="s">
        <v>411</v>
      </c>
      <c r="H33" s="6" t="s">
        <v>411</v>
      </c>
    </row>
    <row r="34" s="1" customFormat="1" ht="16.8" spans="1:8">
      <c r="A34" s="5" t="s">
        <v>407</v>
      </c>
      <c r="B34" s="5" t="s">
        <v>507</v>
      </c>
      <c r="C34" s="5" t="s">
        <v>450</v>
      </c>
      <c r="D34" s="5" t="s">
        <v>505</v>
      </c>
      <c r="E34" s="5" t="s">
        <v>508</v>
      </c>
      <c r="F34" s="1" t="str">
        <f t="shared" si="0"/>
        <v>MIT2-UPS-3256 N Plaza Dr,CA93291- United States</v>
      </c>
      <c r="G34" s="6" t="s">
        <v>411</v>
      </c>
      <c r="H34" s="6" t="s">
        <v>411</v>
      </c>
    </row>
    <row r="35" s="1" customFormat="1" ht="16.8" spans="1:8">
      <c r="A35" s="5" t="s">
        <v>407</v>
      </c>
      <c r="B35" s="5" t="s">
        <v>509</v>
      </c>
      <c r="C35" s="5" t="s">
        <v>450</v>
      </c>
      <c r="D35" s="5" t="s">
        <v>510</v>
      </c>
      <c r="E35" s="5" t="s">
        <v>511</v>
      </c>
      <c r="F35" s="1" t="str">
        <f t="shared" si="0"/>
        <v>BFL2-4500 EXPRESS AVE 93263-2246 - SHAFTER,CA93263-2246- United States</v>
      </c>
      <c r="G35" s="6" t="s">
        <v>411</v>
      </c>
      <c r="H35" s="6" t="s">
        <v>411</v>
      </c>
    </row>
    <row r="36" s="1" customFormat="1" ht="16.8" spans="1:8">
      <c r="A36" s="5" t="s">
        <v>407</v>
      </c>
      <c r="B36" s="5" t="s">
        <v>512</v>
      </c>
      <c r="C36" s="5" t="s">
        <v>450</v>
      </c>
      <c r="D36" s="5" t="s">
        <v>513</v>
      </c>
      <c r="E36" s="5" t="s">
        <v>514</v>
      </c>
      <c r="F36" s="1" t="str">
        <f t="shared" si="0"/>
        <v>MIT2-5408 Express Avenue,CA93263- United States</v>
      </c>
      <c r="G36" s="6" t="s">
        <v>411</v>
      </c>
      <c r="H36" s="6" t="s">
        <v>411</v>
      </c>
    </row>
    <row r="37" s="1" customFormat="1" ht="16.8" spans="1:8">
      <c r="A37" s="5" t="s">
        <v>407</v>
      </c>
      <c r="B37" s="5" t="s">
        <v>515</v>
      </c>
      <c r="C37" s="5" t="s">
        <v>50</v>
      </c>
      <c r="D37" s="5" t="s">
        <v>516</v>
      </c>
      <c r="E37" s="5" t="s">
        <v>517</v>
      </c>
      <c r="F37" s="1" t="str">
        <f t="shared" si="0"/>
        <v>KRB4-Finsterwalder Transport und Logistik GmbH , Schieferstrabe 16,92571-9722- United States</v>
      </c>
      <c r="G37" s="6" t="s">
        <v>411</v>
      </c>
      <c r="H37" s="6" t="s">
        <v>411</v>
      </c>
    </row>
    <row r="38" s="1" customFormat="1" ht="16.8" spans="1:8">
      <c r="A38" s="5" t="s">
        <v>407</v>
      </c>
      <c r="B38" s="5" t="s">
        <v>518</v>
      </c>
      <c r="C38" s="5" t="s">
        <v>450</v>
      </c>
      <c r="D38" s="5" t="s">
        <v>519</v>
      </c>
      <c r="E38" s="5" t="s">
        <v>520</v>
      </c>
      <c r="F38" s="1" t="str">
        <f t="shared" si="0"/>
        <v>LGB9-4375 N Perris Blvd,CA92571-7901- United States</v>
      </c>
      <c r="G38" s="6" t="s">
        <v>411</v>
      </c>
      <c r="H38" s="6" t="s">
        <v>411</v>
      </c>
    </row>
    <row r="39" s="1" customFormat="1" ht="16.8" spans="1:8">
      <c r="A39" s="5" t="s">
        <v>407</v>
      </c>
      <c r="B39" s="5" t="s">
        <v>521</v>
      </c>
      <c r="C39" s="5" t="s">
        <v>450</v>
      </c>
      <c r="D39" s="5" t="s">
        <v>522</v>
      </c>
      <c r="E39" s="5" t="s">
        <v>523</v>
      </c>
      <c r="F39" s="1" t="str">
        <f t="shared" si="0"/>
        <v>ONT6-24208 San Michele Rd,CA92551- United States</v>
      </c>
      <c r="G39" s="6" t="s">
        <v>411</v>
      </c>
      <c r="H39" s="6" t="s">
        <v>411</v>
      </c>
    </row>
    <row r="40" s="1" customFormat="1" ht="16.8" spans="1:8">
      <c r="A40" s="5" t="s">
        <v>407</v>
      </c>
      <c r="B40" s="5" t="s">
        <v>524</v>
      </c>
      <c r="C40" s="5" t="s">
        <v>450</v>
      </c>
      <c r="D40" s="5" t="s">
        <v>522</v>
      </c>
      <c r="E40" s="5" t="s">
        <v>525</v>
      </c>
      <c r="F40" s="1" t="str">
        <f t="shared" si="0"/>
        <v>ONT8-24300 Nandina Ave,CA92551- United States</v>
      </c>
      <c r="G40" s="6" t="s">
        <v>411</v>
      </c>
      <c r="H40" s="6" t="s">
        <v>411</v>
      </c>
    </row>
    <row r="41" s="1" customFormat="1" ht="16.8" spans="1:8">
      <c r="A41" s="5" t="s">
        <v>407</v>
      </c>
      <c r="B41" s="5" t="s">
        <v>526</v>
      </c>
      <c r="C41" s="5" t="s">
        <v>450</v>
      </c>
      <c r="D41" s="5" t="s">
        <v>527</v>
      </c>
      <c r="E41" s="5" t="s">
        <v>528</v>
      </c>
      <c r="F41" s="1" t="str">
        <f t="shared" si="0"/>
        <v>LGB6-20901 Krameria Ave,CA92518-1513- United States</v>
      </c>
      <c r="G41" s="6" t="s">
        <v>411</v>
      </c>
      <c r="H41" s="6" t="s">
        <v>411</v>
      </c>
    </row>
    <row r="42" s="1" customFormat="1" ht="16.8" spans="1:8">
      <c r="A42" s="5" t="s">
        <v>407</v>
      </c>
      <c r="B42" s="5" t="s">
        <v>529</v>
      </c>
      <c r="C42" s="5" t="s">
        <v>450</v>
      </c>
      <c r="D42" s="5" t="s">
        <v>530</v>
      </c>
      <c r="E42" s="5" t="s">
        <v>531</v>
      </c>
      <c r="F42" s="1" t="str">
        <f t="shared" si="0"/>
        <v>VGT2-UPS备用-20701 Krameria Avenue,CA92518- United States</v>
      </c>
      <c r="G42" s="6" t="s">
        <v>411</v>
      </c>
      <c r="H42" s="6" t="s">
        <v>411</v>
      </c>
    </row>
    <row r="43" s="1" customFormat="1" ht="16.8" spans="1:8">
      <c r="A43" s="5" t="s">
        <v>407</v>
      </c>
      <c r="B43" s="5" t="s">
        <v>532</v>
      </c>
      <c r="C43" s="5" t="s">
        <v>450</v>
      </c>
      <c r="D43" s="5" t="s">
        <v>530</v>
      </c>
      <c r="E43" s="5" t="s">
        <v>533</v>
      </c>
      <c r="F43" s="1" t="str">
        <f t="shared" si="0"/>
        <v>PSP3-UPS-20821 Krameria Avenue,CA92518- United States</v>
      </c>
      <c r="G43" s="6" t="s">
        <v>411</v>
      </c>
      <c r="H43" s="6" t="s">
        <v>411</v>
      </c>
    </row>
    <row r="44" s="1" customFormat="1" ht="16.8" spans="1:8">
      <c r="A44" s="5" t="s">
        <v>407</v>
      </c>
      <c r="B44" s="5" t="s">
        <v>534</v>
      </c>
      <c r="C44" s="5" t="s">
        <v>450</v>
      </c>
      <c r="D44" s="5" t="s">
        <v>535</v>
      </c>
      <c r="E44" s="5" t="s">
        <v>536</v>
      </c>
      <c r="F44" s="1" t="str">
        <f t="shared" si="0"/>
        <v>POC3-6120 Clinker Drive,CA92509- United States</v>
      </c>
      <c r="G44" s="6" t="s">
        <v>411</v>
      </c>
      <c r="H44" s="6" t="s">
        <v>411</v>
      </c>
    </row>
    <row r="45" s="1" customFormat="1" ht="16.8" spans="1:8">
      <c r="A45" s="5" t="s">
        <v>407</v>
      </c>
      <c r="B45" s="5" t="s">
        <v>537</v>
      </c>
      <c r="C45" s="5" t="s">
        <v>450</v>
      </c>
      <c r="D45" s="5" t="s">
        <v>538</v>
      </c>
      <c r="E45" s="5" t="s">
        <v>539</v>
      </c>
      <c r="F45" s="1" t="str">
        <f t="shared" si="0"/>
        <v>POC3-UPS-6120 Clinker Dr,CA92508- United States</v>
      </c>
      <c r="G45" s="6" t="s">
        <v>411</v>
      </c>
      <c r="H45" s="6" t="s">
        <v>411</v>
      </c>
    </row>
    <row r="46" s="1" customFormat="1" ht="16.8" spans="1:8">
      <c r="A46" s="5" t="s">
        <v>407</v>
      </c>
      <c r="B46" s="5" t="s">
        <v>540</v>
      </c>
      <c r="C46" s="5" t="s">
        <v>450</v>
      </c>
      <c r="D46" s="5" t="s">
        <v>541</v>
      </c>
      <c r="E46" s="5" t="s">
        <v>542</v>
      </c>
      <c r="F46" s="1" t="str">
        <f t="shared" si="0"/>
        <v>ONT5-2020 E Central Ave, San Bernardino,CA92408-2606- United States</v>
      </c>
      <c r="G46" s="6" t="s">
        <v>411</v>
      </c>
      <c r="H46" s="6" t="s">
        <v>411</v>
      </c>
    </row>
    <row r="47" s="1" customFormat="1" ht="16.8" spans="1:8">
      <c r="A47" s="5" t="s">
        <v>407</v>
      </c>
      <c r="B47" s="5" t="s">
        <v>543</v>
      </c>
      <c r="C47" s="5" t="s">
        <v>450</v>
      </c>
      <c r="D47" s="5" t="s">
        <v>544</v>
      </c>
      <c r="E47" s="5" t="s">
        <v>545</v>
      </c>
      <c r="F47" s="1" t="str">
        <f t="shared" si="0"/>
        <v>ONT2-1910 E central Ave,CA92408-0123- United States</v>
      </c>
      <c r="G47" s="6" t="s">
        <v>411</v>
      </c>
      <c r="H47" s="6" t="s">
        <v>411</v>
      </c>
    </row>
    <row r="48" s="1" customFormat="1" ht="16.8" spans="1:8">
      <c r="A48" s="5" t="s">
        <v>407</v>
      </c>
      <c r="B48" s="5" t="s">
        <v>546</v>
      </c>
      <c r="C48" s="5" t="s">
        <v>450</v>
      </c>
      <c r="D48" s="5" t="s">
        <v>547</v>
      </c>
      <c r="E48" s="5" t="s">
        <v>548</v>
      </c>
      <c r="F48" s="1" t="str">
        <f t="shared" si="0"/>
        <v>KRB1-6001 Bethlehem Blvd,CA92408- United States</v>
      </c>
      <c r="G48" s="6" t="s">
        <v>411</v>
      </c>
      <c r="H48" s="6" t="s">
        <v>411</v>
      </c>
    </row>
    <row r="49" s="1" customFormat="1" ht="16.8" spans="1:8">
      <c r="A49" s="5" t="s">
        <v>407</v>
      </c>
      <c r="B49" s="5" t="s">
        <v>549</v>
      </c>
      <c r="C49" s="5" t="s">
        <v>450</v>
      </c>
      <c r="D49" s="5" t="s">
        <v>547</v>
      </c>
      <c r="E49" s="5" t="s">
        <v>550</v>
      </c>
      <c r="F49" s="1" t="str">
        <f t="shared" si="0"/>
        <v>JOT1-1494 S WATERMAN AVE,CA92408- United States</v>
      </c>
      <c r="G49" s="6" t="s">
        <v>411</v>
      </c>
      <c r="H49" s="6" t="s">
        <v>411</v>
      </c>
    </row>
    <row r="50" s="1" customFormat="1" ht="16.8" spans="1:8">
      <c r="A50" s="5" t="s">
        <v>407</v>
      </c>
      <c r="B50" s="5" t="s">
        <v>551</v>
      </c>
      <c r="C50" s="5" t="s">
        <v>450</v>
      </c>
      <c r="D50" s="5" t="s">
        <v>552</v>
      </c>
      <c r="E50" s="5" t="s">
        <v>553</v>
      </c>
      <c r="F50" s="1" t="str">
        <f t="shared" si="0"/>
        <v>SBD3-5990 Cajon Blvd,CA92407- United States</v>
      </c>
      <c r="G50" s="6" t="s">
        <v>411</v>
      </c>
      <c r="H50" s="6" t="s">
        <v>411</v>
      </c>
    </row>
    <row r="51" s="1" customFormat="1" ht="16.8" spans="1:8">
      <c r="A51" s="5" t="s">
        <v>407</v>
      </c>
      <c r="B51" s="5" t="s">
        <v>554</v>
      </c>
      <c r="C51" s="5" t="s">
        <v>50</v>
      </c>
      <c r="D51" s="5" t="s">
        <v>555</v>
      </c>
      <c r="E51" s="5" t="s">
        <v>556</v>
      </c>
      <c r="F51" s="1" t="str">
        <f t="shared" si="0"/>
        <v>XLX7-18580 Gateway Dr,92394- United States</v>
      </c>
      <c r="G51" s="6" t="s">
        <v>411</v>
      </c>
      <c r="H51" s="6" t="s">
        <v>411</v>
      </c>
    </row>
    <row r="52" s="1" customFormat="1" ht="16.8" spans="1:8">
      <c r="A52" s="5" t="s">
        <v>407</v>
      </c>
      <c r="B52" s="5" t="s">
        <v>557</v>
      </c>
      <c r="C52" s="5" t="s">
        <v>450</v>
      </c>
      <c r="D52" s="5" t="s">
        <v>558</v>
      </c>
      <c r="E52" s="5" t="s">
        <v>559</v>
      </c>
      <c r="F52" s="1" t="str">
        <f t="shared" si="0"/>
        <v>SNA4-2496 W Walnut Ave,CA92376-3009- United States</v>
      </c>
      <c r="G52" s="6" t="s">
        <v>411</v>
      </c>
      <c r="H52" s="6" t="s">
        <v>411</v>
      </c>
    </row>
    <row r="53" s="1" customFormat="1" ht="16.8" spans="1:8">
      <c r="A53" s="5" t="s">
        <v>407</v>
      </c>
      <c r="B53" s="5" t="s">
        <v>560</v>
      </c>
      <c r="C53" s="5" t="s">
        <v>450</v>
      </c>
      <c r="D53" s="5" t="s">
        <v>561</v>
      </c>
      <c r="E53" s="5" t="s">
        <v>562</v>
      </c>
      <c r="F53" s="1" t="str">
        <f t="shared" si="0"/>
        <v>LGB7-1660 N. Linden Avenue,CA92376-2427- United States</v>
      </c>
      <c r="G53" s="6" t="s">
        <v>411</v>
      </c>
      <c r="H53" s="6" t="s">
        <v>411</v>
      </c>
    </row>
    <row r="54" s="1" customFormat="1" ht="16.8" spans="1:8">
      <c r="A54" s="5" t="s">
        <v>407</v>
      </c>
      <c r="B54" s="5" t="s">
        <v>563</v>
      </c>
      <c r="C54" s="5" t="s">
        <v>450</v>
      </c>
      <c r="D54" s="5" t="s">
        <v>564</v>
      </c>
      <c r="E54" s="5" t="s">
        <v>565</v>
      </c>
      <c r="F54" s="1" t="str">
        <f t="shared" si="0"/>
        <v>LGB8-1568 N Linden Ave,CA92376- United States</v>
      </c>
      <c r="G54" s="6" t="s">
        <v>411</v>
      </c>
      <c r="H54" s="6" t="s">
        <v>411</v>
      </c>
    </row>
    <row r="55" s="1" customFormat="1" ht="16.8" spans="1:8">
      <c r="A55" s="5" t="s">
        <v>407</v>
      </c>
      <c r="B55" s="5" t="s">
        <v>566</v>
      </c>
      <c r="C55" s="5" t="s">
        <v>450</v>
      </c>
      <c r="D55" s="5" t="s">
        <v>567</v>
      </c>
      <c r="E55" s="5" t="s">
        <v>568</v>
      </c>
      <c r="F55" s="1" t="str">
        <f t="shared" si="0"/>
        <v>ONT9-2125 W.San Bernandino Ave,CA92374- United States</v>
      </c>
      <c r="G55" s="6" t="s">
        <v>411</v>
      </c>
      <c r="H55" s="6" t="s">
        <v>411</v>
      </c>
    </row>
    <row r="56" s="1" customFormat="1" ht="16.8" spans="1:8">
      <c r="A56" s="5" t="s">
        <v>407</v>
      </c>
      <c r="B56" s="5" t="s">
        <v>569</v>
      </c>
      <c r="C56" s="5" t="s">
        <v>450</v>
      </c>
      <c r="D56" s="5" t="s">
        <v>567</v>
      </c>
      <c r="E56" s="5" t="s">
        <v>570</v>
      </c>
      <c r="F56" s="1" t="str">
        <f t="shared" si="0"/>
        <v>LGB4-27517 Pioneer Avenue,CA92374- United States</v>
      </c>
      <c r="G56" s="6" t="s">
        <v>411</v>
      </c>
      <c r="H56" s="6" t="s">
        <v>411</v>
      </c>
    </row>
    <row r="57" s="1" customFormat="1" ht="16.8" spans="1:8">
      <c r="A57" s="5" t="s">
        <v>407</v>
      </c>
      <c r="B57" s="5" t="s">
        <v>571</v>
      </c>
      <c r="C57" s="5" t="s">
        <v>450</v>
      </c>
      <c r="D57" s="5" t="s">
        <v>567</v>
      </c>
      <c r="E57" s="5" t="s">
        <v>572</v>
      </c>
      <c r="F57" s="1" t="str">
        <f t="shared" si="0"/>
        <v>XLG1-1901 California St,CA92374- United States</v>
      </c>
      <c r="G57" s="6" t="s">
        <v>411</v>
      </c>
      <c r="H57" s="6" t="s">
        <v>411</v>
      </c>
    </row>
    <row r="58" s="1" customFormat="1" ht="16.8" spans="1:8">
      <c r="A58" s="5" t="s">
        <v>407</v>
      </c>
      <c r="B58" s="5" t="s">
        <v>573</v>
      </c>
      <c r="C58" s="5" t="s">
        <v>450</v>
      </c>
      <c r="D58" s="5" t="s">
        <v>567</v>
      </c>
      <c r="E58" s="5" t="s">
        <v>574</v>
      </c>
      <c r="F58" s="1" t="str">
        <f t="shared" si="0"/>
        <v>XON1-2290 Palmetto Ave 92374 - Redlands,CA92374- United States</v>
      </c>
      <c r="G58" s="6" t="s">
        <v>411</v>
      </c>
      <c r="H58" s="6" t="s">
        <v>411</v>
      </c>
    </row>
    <row r="59" s="1" customFormat="1" ht="16.8" spans="1:8">
      <c r="A59" s="5" t="s">
        <v>407</v>
      </c>
      <c r="B59" s="5" t="s">
        <v>575</v>
      </c>
      <c r="C59" s="5" t="s">
        <v>450</v>
      </c>
      <c r="D59" s="5" t="s">
        <v>576</v>
      </c>
      <c r="E59" s="5" t="s">
        <v>577</v>
      </c>
      <c r="F59" s="1" t="str">
        <f t="shared" si="0"/>
        <v>LAX9-11263 Oleander Ave,CA92337- United States</v>
      </c>
      <c r="G59" s="6" t="s">
        <v>411</v>
      </c>
      <c r="H59" s="6" t="s">
        <v>411</v>
      </c>
    </row>
    <row r="60" s="1" customFormat="1" ht="16.8" spans="1:8">
      <c r="A60" s="5" t="s">
        <v>407</v>
      </c>
      <c r="B60" s="5" t="s">
        <v>578</v>
      </c>
      <c r="C60" s="5" t="s">
        <v>450</v>
      </c>
      <c r="D60" s="5" t="s">
        <v>579</v>
      </c>
      <c r="E60" s="5" t="s">
        <v>580</v>
      </c>
      <c r="F60" s="1" t="str">
        <f t="shared" si="0"/>
        <v>POC1-4121 LYTLE CREEK RD,CA92336-1123- United States</v>
      </c>
      <c r="G60" s="6" t="s">
        <v>411</v>
      </c>
      <c r="H60" s="6" t="s">
        <v>411</v>
      </c>
    </row>
    <row r="61" s="1" customFormat="1" ht="16.8" spans="1:8">
      <c r="A61" s="5" t="s">
        <v>407</v>
      </c>
      <c r="B61" s="5" t="s">
        <v>581</v>
      </c>
      <c r="C61" s="5" t="s">
        <v>450</v>
      </c>
      <c r="D61" s="5" t="s">
        <v>582</v>
      </c>
      <c r="E61" s="5" t="s">
        <v>583</v>
      </c>
      <c r="F61" s="1" t="str">
        <f t="shared" si="0"/>
        <v>SBD1-3388 S Cactus Ave,CA92316-3819- United States</v>
      </c>
      <c r="G61" s="6" t="s">
        <v>411</v>
      </c>
      <c r="H61" s="6" t="s">
        <v>411</v>
      </c>
    </row>
    <row r="62" s="1" customFormat="1" ht="16.8" spans="1:8">
      <c r="A62" s="5" t="s">
        <v>407</v>
      </c>
      <c r="B62" s="5" t="s">
        <v>584</v>
      </c>
      <c r="C62" s="5" t="s">
        <v>450</v>
      </c>
      <c r="D62" s="5" t="s">
        <v>585</v>
      </c>
      <c r="E62" s="5" t="s">
        <v>586</v>
      </c>
      <c r="F62" s="1" t="str">
        <f t="shared" si="0"/>
        <v>PSP3-64165 19th AVE 92240 - DESERT HOT SPRINGS,CA92240- United States</v>
      </c>
      <c r="G62" s="6" t="s">
        <v>411</v>
      </c>
      <c r="H62" s="6" t="s">
        <v>411</v>
      </c>
    </row>
    <row r="63" s="1" customFormat="1" ht="16.8" spans="1:8">
      <c r="A63" s="5" t="s">
        <v>407</v>
      </c>
      <c r="B63" s="5" t="s">
        <v>587</v>
      </c>
      <c r="C63" s="5" t="s">
        <v>450</v>
      </c>
      <c r="D63" s="5" t="s">
        <v>588</v>
      </c>
      <c r="E63" s="5" t="s">
        <v>589</v>
      </c>
      <c r="F63" s="1" t="str">
        <f t="shared" si="0"/>
        <v>POC2-4000 South Hamner Avenue,CA91761- United States</v>
      </c>
      <c r="G63" s="6" t="s">
        <v>411</v>
      </c>
      <c r="H63" s="6" t="s">
        <v>411</v>
      </c>
    </row>
    <row r="64" s="1" customFormat="1" ht="16.8" spans="1:8">
      <c r="A64" s="5" t="s">
        <v>407</v>
      </c>
      <c r="B64" s="5" t="s">
        <v>590</v>
      </c>
      <c r="C64" s="5" t="s">
        <v>50</v>
      </c>
      <c r="D64" s="5" t="s">
        <v>591</v>
      </c>
      <c r="E64" s="5" t="s">
        <v>592</v>
      </c>
      <c r="F64" s="1" t="str">
        <f t="shared" si="0"/>
        <v>LGB3-4501 PATTERSON AVE,91752-5087- United States</v>
      </c>
      <c r="G64" s="6" t="s">
        <v>411</v>
      </c>
      <c r="H64" s="6" t="s">
        <v>411</v>
      </c>
    </row>
    <row r="65" s="1" customFormat="1" ht="16.8" spans="1:8">
      <c r="A65" s="5" t="s">
        <v>407</v>
      </c>
      <c r="B65" s="5" t="s">
        <v>593</v>
      </c>
      <c r="C65" s="5" t="s">
        <v>450</v>
      </c>
      <c r="D65" s="5" t="s">
        <v>594</v>
      </c>
      <c r="E65" s="5" t="s">
        <v>595</v>
      </c>
      <c r="F65" s="1" t="str">
        <f t="shared" si="0"/>
        <v>SNA6-5250 Goodman Road,CA91752- United States</v>
      </c>
      <c r="G65" s="6" t="s">
        <v>411</v>
      </c>
      <c r="H65" s="6" t="s">
        <v>411</v>
      </c>
    </row>
    <row r="66" s="1" customFormat="1" ht="16.8" spans="1:8">
      <c r="A66" s="5" t="s">
        <v>407</v>
      </c>
      <c r="B66" s="5" t="s">
        <v>596</v>
      </c>
      <c r="C66" s="5" t="s">
        <v>450</v>
      </c>
      <c r="D66" s="5" t="s">
        <v>597</v>
      </c>
      <c r="E66" s="7" t="s">
        <v>598</v>
      </c>
      <c r="F66" s="1" t="str">
        <f t="shared" si="0"/>
        <v>MAG1-6855 S La Cienega Blvd, Los Angeles,CA90045- United States</v>
      </c>
      <c r="G66" s="6" t="s">
        <v>411</v>
      </c>
      <c r="H66" s="6" t="s">
        <v>411</v>
      </c>
    </row>
    <row r="67" s="1" customFormat="1" ht="16.8" spans="1:8">
      <c r="A67" s="5" t="s">
        <v>407</v>
      </c>
      <c r="B67" s="5" t="s">
        <v>599</v>
      </c>
      <c r="C67" s="5" t="s">
        <v>600</v>
      </c>
      <c r="D67" s="5" t="s">
        <v>601</v>
      </c>
      <c r="E67" s="5" t="s">
        <v>602</v>
      </c>
      <c r="F67" s="1" t="str">
        <f t="shared" ref="F67:F130" si="1">B67&amp;"-"&amp;E67&amp;","&amp;C67&amp;D67&amp;"- United States"</f>
        <v>RNO4-8000 North Virginia Street,NV89506- United States</v>
      </c>
      <c r="G67" s="6" t="s">
        <v>411</v>
      </c>
      <c r="H67" s="6" t="s">
        <v>411</v>
      </c>
    </row>
    <row r="68" s="1" customFormat="1" ht="16.8" spans="1:8">
      <c r="A68" s="5" t="s">
        <v>407</v>
      </c>
      <c r="B68" s="5" t="s">
        <v>603</v>
      </c>
      <c r="C68" s="5" t="s">
        <v>600</v>
      </c>
      <c r="D68" s="5" t="s">
        <v>604</v>
      </c>
      <c r="E68" s="5" t="s">
        <v>605</v>
      </c>
      <c r="F68" s="1" t="str">
        <f t="shared" si="1"/>
        <v>IVSF-2821 MARION DR STE 109,NV89115-3477- United States</v>
      </c>
      <c r="G68" s="6" t="s">
        <v>411</v>
      </c>
      <c r="H68" s="6" t="s">
        <v>411</v>
      </c>
    </row>
    <row r="69" s="1" customFormat="1" ht="16.8" spans="1:8">
      <c r="A69" s="5" t="s">
        <v>407</v>
      </c>
      <c r="B69" s="5" t="s">
        <v>606</v>
      </c>
      <c r="C69" s="5" t="s">
        <v>600</v>
      </c>
      <c r="D69" s="5" t="s">
        <v>607</v>
      </c>
      <c r="E69" s="5" t="s">
        <v>608</v>
      </c>
      <c r="F69" s="1" t="str">
        <f t="shared" si="1"/>
        <v>IVSE-2951 MARION DR UNIT 101,NV89115-3467- United States</v>
      </c>
      <c r="G69" s="6" t="s">
        <v>411</v>
      </c>
      <c r="H69" s="6" t="s">
        <v>411</v>
      </c>
    </row>
    <row r="70" s="1" customFormat="1" ht="16.8" spans="1:8">
      <c r="A70" s="5" t="s">
        <v>407</v>
      </c>
      <c r="B70" s="5" t="s">
        <v>609</v>
      </c>
      <c r="C70" s="5" t="s">
        <v>610</v>
      </c>
      <c r="D70" s="5" t="s">
        <v>611</v>
      </c>
      <c r="E70" s="5" t="s">
        <v>612</v>
      </c>
      <c r="F70" s="1" t="str">
        <f t="shared" si="1"/>
        <v>LAS7-6001 East Tropical Parkway,Las Vegas89115-1935- United States</v>
      </c>
      <c r="G70" s="6" t="s">
        <v>411</v>
      </c>
      <c r="H70" s="6" t="s">
        <v>411</v>
      </c>
    </row>
    <row r="71" s="1" customFormat="1" ht="16.8" spans="1:8">
      <c r="A71" s="5" t="s">
        <v>407</v>
      </c>
      <c r="B71" s="5" t="s">
        <v>613</v>
      </c>
      <c r="C71" s="5" t="s">
        <v>600</v>
      </c>
      <c r="D71" s="5" t="s">
        <v>614</v>
      </c>
      <c r="E71" s="5" t="s">
        <v>615</v>
      </c>
      <c r="F71" s="1" t="str">
        <f t="shared" si="1"/>
        <v>LAS6-4550 Nexus Way,NV89115- United States</v>
      </c>
      <c r="G71" s="6" t="s">
        <v>411</v>
      </c>
      <c r="H71" s="6" t="s">
        <v>411</v>
      </c>
    </row>
    <row r="72" s="1" customFormat="1" ht="16.8" spans="1:8">
      <c r="A72" s="5" t="s">
        <v>407</v>
      </c>
      <c r="B72" s="5" t="s">
        <v>616</v>
      </c>
      <c r="C72" s="5" t="s">
        <v>600</v>
      </c>
      <c r="D72" s="5" t="s">
        <v>614</v>
      </c>
      <c r="E72" s="5" t="s">
        <v>617</v>
      </c>
      <c r="F72" s="1" t="str">
        <f t="shared" si="1"/>
        <v>VGT2-6401 Howdy Wells Ave 89115-2013 - LAS VEGAS ,NV89115- United States</v>
      </c>
      <c r="G72" s="6" t="s">
        <v>411</v>
      </c>
      <c r="H72" s="6" t="s">
        <v>411</v>
      </c>
    </row>
    <row r="73" s="1" customFormat="1" ht="16.8" spans="1:8">
      <c r="A73" s="5" t="s">
        <v>407</v>
      </c>
      <c r="B73" s="5" t="s">
        <v>618</v>
      </c>
      <c r="C73" s="5" t="s">
        <v>600</v>
      </c>
      <c r="D73" s="5" t="s">
        <v>619</v>
      </c>
      <c r="E73" s="5" t="s">
        <v>620</v>
      </c>
      <c r="F73" s="1" t="str">
        <f t="shared" si="1"/>
        <v>LAS1-12300 Bermuda Road,NV89044-8746- United States</v>
      </c>
      <c r="G73" s="6" t="s">
        <v>411</v>
      </c>
      <c r="H73" s="6" t="s">
        <v>411</v>
      </c>
    </row>
    <row r="74" s="1" customFormat="1" ht="16.8" spans="1:8">
      <c r="A74" s="5" t="s">
        <v>407</v>
      </c>
      <c r="B74" s="5" t="s">
        <v>621</v>
      </c>
      <c r="C74" s="5" t="s">
        <v>622</v>
      </c>
      <c r="D74" s="5" t="s">
        <v>623</v>
      </c>
      <c r="E74" s="5" t="s">
        <v>624</v>
      </c>
      <c r="F74" s="1" t="str">
        <f t="shared" si="1"/>
        <v>ABQ2-6251 Pioneer Trail NW,NM87031- United States</v>
      </c>
      <c r="G74" s="6" t="s">
        <v>411</v>
      </c>
      <c r="H74" s="6" t="s">
        <v>411</v>
      </c>
    </row>
    <row r="75" s="1" customFormat="1" ht="16.8" spans="1:8">
      <c r="A75" s="5" t="s">
        <v>407</v>
      </c>
      <c r="B75" s="5" t="s">
        <v>625</v>
      </c>
      <c r="C75" s="5" t="s">
        <v>626</v>
      </c>
      <c r="D75" s="5" t="s">
        <v>627</v>
      </c>
      <c r="E75" s="5" t="s">
        <v>628</v>
      </c>
      <c r="F75" s="1" t="str">
        <f t="shared" si="1"/>
        <v>GEU3-18900 W McDowell Road,AZ85396- United States</v>
      </c>
      <c r="G75" s="6" t="s">
        <v>411</v>
      </c>
      <c r="H75" s="6" t="s">
        <v>411</v>
      </c>
    </row>
    <row r="76" s="1" customFormat="1" ht="16.8" spans="1:8">
      <c r="A76" s="5" t="s">
        <v>407</v>
      </c>
      <c r="B76" s="5" t="s">
        <v>629</v>
      </c>
      <c r="C76" s="5" t="s">
        <v>626</v>
      </c>
      <c r="D76" s="5" t="s">
        <v>630</v>
      </c>
      <c r="E76" s="5" t="s">
        <v>631</v>
      </c>
      <c r="F76" s="1" t="str">
        <f t="shared" si="1"/>
        <v>GYR2-GYR2 - 17341 W MINNEZONA AVE 85395-7672 - GOODYEAR,AZ85395- United States</v>
      </c>
      <c r="G76" s="6" t="s">
        <v>411</v>
      </c>
      <c r="H76" s="6" t="s">
        <v>411</v>
      </c>
    </row>
    <row r="77" s="1" customFormat="1" ht="16.8" spans="1:8">
      <c r="A77" s="5" t="s">
        <v>407</v>
      </c>
      <c r="B77" s="5" t="s">
        <v>632</v>
      </c>
      <c r="C77" s="5" t="s">
        <v>626</v>
      </c>
      <c r="D77" s="5" t="s">
        <v>630</v>
      </c>
      <c r="E77" s="5" t="s">
        <v>633</v>
      </c>
      <c r="F77" s="1" t="str">
        <f t="shared" si="1"/>
        <v>ABQ2-UPS备用-16601 W. SELLS DRIVE,AZ85395- United States</v>
      </c>
      <c r="G77" s="6" t="s">
        <v>411</v>
      </c>
      <c r="H77" s="6" t="s">
        <v>411</v>
      </c>
    </row>
    <row r="78" s="1" customFormat="1" ht="16.8" spans="1:8">
      <c r="A78" s="5" t="s">
        <v>407</v>
      </c>
      <c r="B78" s="5" t="s">
        <v>634</v>
      </c>
      <c r="C78" s="5" t="s">
        <v>626</v>
      </c>
      <c r="D78" s="5" t="s">
        <v>630</v>
      </c>
      <c r="E78" s="5" t="s">
        <v>635</v>
      </c>
      <c r="F78" s="1" t="str">
        <f t="shared" si="1"/>
        <v>GEU5-4660 North Cotton Lane,AZ85395- United States</v>
      </c>
      <c r="G78" s="6" t="s">
        <v>411</v>
      </c>
      <c r="H78" s="6" t="s">
        <v>411</v>
      </c>
    </row>
    <row r="79" s="1" customFormat="1" ht="16.8" spans="1:8">
      <c r="A79" s="5" t="s">
        <v>407</v>
      </c>
      <c r="B79" s="5" t="s">
        <v>636</v>
      </c>
      <c r="C79" s="5" t="s">
        <v>626</v>
      </c>
      <c r="D79" s="5" t="s">
        <v>630</v>
      </c>
      <c r="E79" s="5" t="s">
        <v>637</v>
      </c>
      <c r="F79" s="1" t="str">
        <f t="shared" si="1"/>
        <v>ABQ2-UPS备用(新)-6251 Pioneer Trail Nw, Goodyear ,AZ85395- United States</v>
      </c>
      <c r="G79" s="6" t="s">
        <v>411</v>
      </c>
      <c r="H79" s="6" t="s">
        <v>411</v>
      </c>
    </row>
    <row r="80" s="1" customFormat="1" ht="16.8" spans="1:8">
      <c r="A80" s="5" t="s">
        <v>407</v>
      </c>
      <c r="B80" s="5" t="s">
        <v>638</v>
      </c>
      <c r="C80" s="5" t="s">
        <v>626</v>
      </c>
      <c r="D80" s="5" t="s">
        <v>639</v>
      </c>
      <c r="E80" s="5" t="s">
        <v>640</v>
      </c>
      <c r="F80" s="1" t="str">
        <f t="shared" si="1"/>
        <v>PHX5-16920 W Commerce Drive,AZ85338- United States</v>
      </c>
      <c r="G80" s="6" t="s">
        <v>411</v>
      </c>
      <c r="H80" s="6" t="s">
        <v>411</v>
      </c>
    </row>
    <row r="81" s="1" customFormat="1" ht="16.8" spans="1:8">
      <c r="A81" s="5" t="s">
        <v>407</v>
      </c>
      <c r="B81" s="5" t="s">
        <v>641</v>
      </c>
      <c r="C81" s="5" t="s">
        <v>626</v>
      </c>
      <c r="D81" s="5" t="s">
        <v>642</v>
      </c>
      <c r="E81" s="5" t="s">
        <v>643</v>
      </c>
      <c r="F81" s="1" t="str">
        <f t="shared" si="1"/>
        <v>GEU2-15301 West Northern Avenue,AZ85307- United States</v>
      </c>
      <c r="G81" s="6" t="s">
        <v>411</v>
      </c>
      <c r="H81" s="6" t="s">
        <v>411</v>
      </c>
    </row>
    <row r="82" s="1" customFormat="1" ht="16.8" spans="1:8">
      <c r="A82" s="5" t="s">
        <v>407</v>
      </c>
      <c r="B82" s="5" t="s">
        <v>644</v>
      </c>
      <c r="C82" s="5" t="s">
        <v>626</v>
      </c>
      <c r="D82" s="5" t="s">
        <v>645</v>
      </c>
      <c r="E82" s="5" t="s">
        <v>646</v>
      </c>
      <c r="F82" s="1" t="str">
        <f t="shared" si="1"/>
        <v>PHX6-4750 West Mohave St,AZ85043-8305- United States</v>
      </c>
      <c r="G82" s="6" t="s">
        <v>411</v>
      </c>
      <c r="H82" s="6" t="s">
        <v>411</v>
      </c>
    </row>
    <row r="83" s="1" customFormat="1" ht="16.8" spans="1:8">
      <c r="A83" s="5" t="s">
        <v>407</v>
      </c>
      <c r="B83" s="5" t="s">
        <v>647</v>
      </c>
      <c r="C83" s="5" t="s">
        <v>626</v>
      </c>
      <c r="D83" s="5" t="s">
        <v>648</v>
      </c>
      <c r="E83" s="5" t="s">
        <v>649</v>
      </c>
      <c r="F83" s="1" t="str">
        <f t="shared" si="1"/>
        <v>AZA4-3333 59th Ave,AZ85043-7904- United States</v>
      </c>
      <c r="G83" s="6" t="s">
        <v>411</v>
      </c>
      <c r="H83" s="6" t="s">
        <v>411</v>
      </c>
    </row>
    <row r="84" s="1" customFormat="1" ht="16.8" spans="1:8">
      <c r="A84" s="5" t="s">
        <v>407</v>
      </c>
      <c r="B84" s="5" t="s">
        <v>650</v>
      </c>
      <c r="C84" s="5" t="s">
        <v>626</v>
      </c>
      <c r="D84" s="5" t="s">
        <v>651</v>
      </c>
      <c r="E84" s="5" t="s">
        <v>652</v>
      </c>
      <c r="F84" s="1" t="str">
        <f t="shared" si="1"/>
        <v>GYR3-8181 W ROOSEVELT ST 85043-2356 - PHOENIX ,AZ85043-2356- United States</v>
      </c>
      <c r="G84" s="6" t="s">
        <v>411</v>
      </c>
      <c r="H84" s="6" t="s">
        <v>411</v>
      </c>
    </row>
    <row r="85" s="1" customFormat="1" ht="16.8" spans="1:8">
      <c r="A85" s="5" t="s">
        <v>407</v>
      </c>
      <c r="B85" s="5" t="s">
        <v>653</v>
      </c>
      <c r="C85" s="5" t="s">
        <v>626</v>
      </c>
      <c r="D85" s="5" t="s">
        <v>654</v>
      </c>
      <c r="E85" s="5" t="s">
        <v>655</v>
      </c>
      <c r="F85" s="1" t="str">
        <f t="shared" si="1"/>
        <v>PHX3-6835 West Buckeye Road,AZ85043- United States</v>
      </c>
      <c r="G85" s="6" t="s">
        <v>411</v>
      </c>
      <c r="H85" s="6" t="s">
        <v>411</v>
      </c>
    </row>
    <row r="86" s="1" customFormat="1" ht="16.8" spans="1:8">
      <c r="A86" s="5" t="s">
        <v>407</v>
      </c>
      <c r="B86" s="5" t="s">
        <v>656</v>
      </c>
      <c r="C86" s="5" t="s">
        <v>626</v>
      </c>
      <c r="D86" s="5" t="s">
        <v>654</v>
      </c>
      <c r="E86" s="5" t="s">
        <v>657</v>
      </c>
      <c r="F86" s="1" t="str">
        <f t="shared" si="1"/>
        <v>PHX7-800 N 75th Ave,AZ85043- United States</v>
      </c>
      <c r="G86" s="6" t="s">
        <v>411</v>
      </c>
      <c r="H86" s="6" t="s">
        <v>411</v>
      </c>
    </row>
    <row r="87" s="1" customFormat="1" ht="16.8" spans="1:8">
      <c r="A87" s="5" t="s">
        <v>407</v>
      </c>
      <c r="B87" s="5" t="s">
        <v>658</v>
      </c>
      <c r="C87" s="5" t="s">
        <v>659</v>
      </c>
      <c r="D87" s="5" t="s">
        <v>660</v>
      </c>
      <c r="E87" s="5" t="s">
        <v>661</v>
      </c>
      <c r="F87" s="1" t="str">
        <f t="shared" si="1"/>
        <v>SLC3-355 N JOHN GLENN RD,UT84116-4413- United States</v>
      </c>
      <c r="G87" s="6" t="s">
        <v>411</v>
      </c>
      <c r="H87" s="6" t="s">
        <v>411</v>
      </c>
    </row>
    <row r="88" s="1" customFormat="1" ht="16.8" spans="1:8">
      <c r="A88" s="5" t="s">
        <v>407</v>
      </c>
      <c r="B88" s="5" t="s">
        <v>662</v>
      </c>
      <c r="C88" s="5" t="s">
        <v>659</v>
      </c>
      <c r="D88" s="5" t="s">
        <v>663</v>
      </c>
      <c r="E88" s="5" t="s">
        <v>664</v>
      </c>
      <c r="F88" s="1" t="str">
        <f t="shared" si="1"/>
        <v>SLC2-7148 W. Old Bingham Hwy 84081 - West Jordan,UT84081- United States</v>
      </c>
      <c r="G88" s="6" t="s">
        <v>411</v>
      </c>
      <c r="H88" s="6" t="s">
        <v>411</v>
      </c>
    </row>
    <row r="89" s="1" customFormat="1" ht="16.8" spans="1:8">
      <c r="A89" s="5" t="s">
        <v>407</v>
      </c>
      <c r="B89" s="5" t="s">
        <v>665</v>
      </c>
      <c r="C89" s="5" t="s">
        <v>666</v>
      </c>
      <c r="D89" s="5" t="s">
        <v>667</v>
      </c>
      <c r="E89" s="5" t="s">
        <v>668</v>
      </c>
      <c r="F89" s="1" t="str">
        <f t="shared" si="1"/>
        <v>DEN2-22205 East 19th Ave,CO80019- United States</v>
      </c>
      <c r="G89" s="6" t="s">
        <v>411</v>
      </c>
      <c r="H89" s="6" t="s">
        <v>411</v>
      </c>
    </row>
    <row r="90" s="1" customFormat="1" ht="16.8" spans="1:8">
      <c r="A90" s="5" t="s">
        <v>407</v>
      </c>
      <c r="B90" s="5" t="s">
        <v>669</v>
      </c>
      <c r="C90" s="5" t="s">
        <v>670</v>
      </c>
      <c r="D90" s="5" t="s">
        <v>671</v>
      </c>
      <c r="E90" s="5" t="s">
        <v>672</v>
      </c>
      <c r="F90" s="1" t="str">
        <f t="shared" si="1"/>
        <v>DEN8-Stafford Logistics Center Building 5, 21000 E 13th Ave, Aurora ,CO 80018- United States</v>
      </c>
      <c r="G90" s="6" t="s">
        <v>411</v>
      </c>
      <c r="H90" s="6" t="s">
        <v>411</v>
      </c>
    </row>
    <row r="91" s="1" customFormat="1" ht="16.8" spans="1:8">
      <c r="A91" s="5" t="s">
        <v>407</v>
      </c>
      <c r="B91" s="5" t="s">
        <v>673</v>
      </c>
      <c r="C91" s="5" t="s">
        <v>674</v>
      </c>
      <c r="D91" s="5" t="s">
        <v>675</v>
      </c>
      <c r="E91" s="5" t="s">
        <v>676</v>
      </c>
      <c r="F91" s="1" t="str">
        <f t="shared" si="1"/>
        <v>AMA1-8590 NE 24th Ave, Amarillo, TX 79108,TX79108-7749- United States</v>
      </c>
      <c r="G91" s="6" t="s">
        <v>411</v>
      </c>
      <c r="H91" s="6" t="s">
        <v>411</v>
      </c>
    </row>
    <row r="92" s="1" customFormat="1" ht="16.8" spans="1:8">
      <c r="A92" s="5" t="s">
        <v>407</v>
      </c>
      <c r="B92" s="5" t="s">
        <v>677</v>
      </c>
      <c r="C92" s="5" t="s">
        <v>674</v>
      </c>
      <c r="D92" s="5" t="s">
        <v>678</v>
      </c>
      <c r="E92" s="5" t="s">
        <v>679</v>
      </c>
      <c r="F92" s="1" t="str">
        <f t="shared" si="1"/>
        <v>SAT2-1401 E McCarty Lane,TX78666-8969- United States</v>
      </c>
      <c r="G92" s="6" t="s">
        <v>411</v>
      </c>
      <c r="H92" s="6" t="s">
        <v>411</v>
      </c>
    </row>
    <row r="93" s="1" customFormat="1" ht="16.8" spans="1:8">
      <c r="A93" s="5" t="s">
        <v>407</v>
      </c>
      <c r="B93" s="5" t="s">
        <v>680</v>
      </c>
      <c r="C93" s="5" t="s">
        <v>681</v>
      </c>
      <c r="D93" s="5" t="s">
        <v>682</v>
      </c>
      <c r="E93" s="5" t="s">
        <v>683</v>
      </c>
      <c r="F93" s="1" t="str">
        <f t="shared" si="1"/>
        <v>SAT6-1346 Fortuna Road, SAN MARCOS ,TX 78666- United States</v>
      </c>
      <c r="G93" s="6" t="s">
        <v>411</v>
      </c>
      <c r="H93" s="6" t="s">
        <v>411</v>
      </c>
    </row>
    <row r="94" s="1" customFormat="1" ht="16.8" spans="1:8">
      <c r="A94" s="5" t="s">
        <v>407</v>
      </c>
      <c r="B94" s="5" t="s">
        <v>684</v>
      </c>
      <c r="C94" s="5" t="s">
        <v>681</v>
      </c>
      <c r="D94" s="5" t="s">
        <v>685</v>
      </c>
      <c r="E94" s="5" t="s">
        <v>686</v>
      </c>
      <c r="F94" s="1" t="str">
        <f t="shared" si="1"/>
        <v>SAT4-10384 W US HIGHWAY 90 78245-9512 - SAN ANTONIO ,TX 78245-9512- United States</v>
      </c>
      <c r="G94" s="6" t="s">
        <v>411</v>
      </c>
      <c r="H94" s="6" t="s">
        <v>411</v>
      </c>
    </row>
    <row r="95" s="1" customFormat="1" ht="16.8" spans="1:8">
      <c r="A95" s="5" t="s">
        <v>407</v>
      </c>
      <c r="B95" s="5" t="s">
        <v>687</v>
      </c>
      <c r="C95" s="5" t="s">
        <v>674</v>
      </c>
      <c r="D95" s="5" t="s">
        <v>688</v>
      </c>
      <c r="E95" s="5" t="s">
        <v>689</v>
      </c>
      <c r="F95" s="1" t="str">
        <f t="shared" si="1"/>
        <v>SAT1-6000 Enterprise Avenue,TX78154-1461- United States</v>
      </c>
      <c r="G95" s="6" t="s">
        <v>411</v>
      </c>
      <c r="H95" s="6" t="s">
        <v>411</v>
      </c>
    </row>
    <row r="96" s="1" customFormat="1" ht="16.8" spans="1:8">
      <c r="A96" s="5" t="s">
        <v>407</v>
      </c>
      <c r="B96" s="5" t="s">
        <v>690</v>
      </c>
      <c r="C96" s="5" t="s">
        <v>681</v>
      </c>
      <c r="D96" s="5" t="s">
        <v>691</v>
      </c>
      <c r="E96" s="5" t="s">
        <v>692</v>
      </c>
      <c r="F96" s="1" t="str">
        <f t="shared" si="1"/>
        <v>HOU8-2303 Hurricane Lane, FRESNO,TX 77545- United States</v>
      </c>
      <c r="G96" s="6" t="s">
        <v>411</v>
      </c>
      <c r="H96" s="6" t="s">
        <v>411</v>
      </c>
    </row>
    <row r="97" s="1" customFormat="1" ht="16.8" spans="1:8">
      <c r="A97" s="5" t="s">
        <v>407</v>
      </c>
      <c r="B97" s="5" t="s">
        <v>693</v>
      </c>
      <c r="C97" s="5" t="s">
        <v>674</v>
      </c>
      <c r="D97" s="5" t="s">
        <v>694</v>
      </c>
      <c r="E97" s="5" t="s">
        <v>695</v>
      </c>
      <c r="F97" s="1" t="str">
        <f t="shared" si="1"/>
        <v>HOU3-31555 Highway 90 E,TX77423-2769- United States</v>
      </c>
      <c r="G97" s="6" t="s">
        <v>411</v>
      </c>
      <c r="H97" s="6" t="s">
        <v>411</v>
      </c>
    </row>
    <row r="98" s="1" customFormat="1" ht="16.8" spans="1:8">
      <c r="A98" s="5" t="s">
        <v>407</v>
      </c>
      <c r="B98" s="5" t="s">
        <v>696</v>
      </c>
      <c r="C98" s="5" t="s">
        <v>674</v>
      </c>
      <c r="D98" s="5" t="s">
        <v>697</v>
      </c>
      <c r="E98" s="5" t="s">
        <v>698</v>
      </c>
      <c r="F98" s="1" t="str">
        <f t="shared" si="1"/>
        <v>HOU1-8120 Humble Westfield Rd,TX77338- United States</v>
      </c>
      <c r="G98" s="6" t="s">
        <v>411</v>
      </c>
      <c r="H98" s="6" t="s">
        <v>411</v>
      </c>
    </row>
    <row r="99" s="1" customFormat="1" ht="16.8" spans="1:8">
      <c r="A99" s="5" t="s">
        <v>407</v>
      </c>
      <c r="B99" s="5" t="s">
        <v>699</v>
      </c>
      <c r="C99" s="5" t="s">
        <v>674</v>
      </c>
      <c r="D99" s="5" t="s">
        <v>700</v>
      </c>
      <c r="E99" s="5" t="s">
        <v>701</v>
      </c>
      <c r="F99" s="1" t="str">
        <f t="shared" si="1"/>
        <v>HOU7-16225 Tomball Pkwy,TX77064-1111- United States</v>
      </c>
      <c r="G99" s="6" t="s">
        <v>411</v>
      </c>
      <c r="H99" s="6" t="s">
        <v>411</v>
      </c>
    </row>
    <row r="100" s="1" customFormat="1" ht="16.8" spans="1:8">
      <c r="A100" s="5" t="s">
        <v>407</v>
      </c>
      <c r="B100" s="5" t="s">
        <v>702</v>
      </c>
      <c r="C100" s="5" t="s">
        <v>674</v>
      </c>
      <c r="D100" s="5" t="s">
        <v>703</v>
      </c>
      <c r="E100" s="5" t="s">
        <v>704</v>
      </c>
      <c r="F100" s="1" t="str">
        <f t="shared" si="1"/>
        <v>ITX2-6911 FAIRBANKS N HOUSTON RD,TX77040-1437- United States</v>
      </c>
      <c r="G100" s="6" t="s">
        <v>411</v>
      </c>
      <c r="H100" s="6" t="s">
        <v>411</v>
      </c>
    </row>
    <row r="101" s="1" customFormat="1" ht="16.8" spans="1:8">
      <c r="A101" s="5" t="s">
        <v>407</v>
      </c>
      <c r="B101" s="5" t="s">
        <v>705</v>
      </c>
      <c r="C101" s="5" t="s">
        <v>674</v>
      </c>
      <c r="D101" s="5" t="s">
        <v>706</v>
      </c>
      <c r="E101" s="5" t="s">
        <v>707</v>
      </c>
      <c r="F101" s="1" t="str">
        <f t="shared" si="1"/>
        <v>HOU2-10550 Ella Blvd,TX77038-2324- United States</v>
      </c>
      <c r="G101" s="6" t="s">
        <v>411</v>
      </c>
      <c r="H101" s="6" t="s">
        <v>411</v>
      </c>
    </row>
    <row r="102" s="1" customFormat="1" ht="16.8" spans="1:8">
      <c r="A102" s="5" t="s">
        <v>407</v>
      </c>
      <c r="B102" s="5" t="s">
        <v>708</v>
      </c>
      <c r="C102" s="5" t="s">
        <v>674</v>
      </c>
      <c r="D102" s="5" t="s">
        <v>709</v>
      </c>
      <c r="E102" s="5" t="s">
        <v>710</v>
      </c>
      <c r="F102" s="1" t="str">
        <f t="shared" si="1"/>
        <v>IAH3-15525 Milner Road 77032 -HOUSTON ,TX77032- United States</v>
      </c>
      <c r="G102" s="6" t="s">
        <v>411</v>
      </c>
      <c r="H102" s="6" t="s">
        <v>411</v>
      </c>
    </row>
    <row r="103" s="1" customFormat="1" ht="16.8" spans="1:8">
      <c r="A103" s="5" t="s">
        <v>407</v>
      </c>
      <c r="B103" s="5" t="s">
        <v>711</v>
      </c>
      <c r="C103" s="5" t="s">
        <v>674</v>
      </c>
      <c r="D103" s="5" t="s">
        <v>712</v>
      </c>
      <c r="E103" s="5" t="s">
        <v>713</v>
      </c>
      <c r="F103" s="1" t="str">
        <f t="shared" si="1"/>
        <v>FTW4-Fort Worth,TX76177-2517- United States</v>
      </c>
      <c r="G103" s="6" t="s">
        <v>411</v>
      </c>
      <c r="H103" s="6" t="s">
        <v>411</v>
      </c>
    </row>
    <row r="104" s="1" customFormat="1" ht="16.8" spans="1:8">
      <c r="A104" s="5" t="s">
        <v>407</v>
      </c>
      <c r="B104" s="5" t="s">
        <v>714</v>
      </c>
      <c r="C104" s="5" t="s">
        <v>674</v>
      </c>
      <c r="D104" s="5" t="s">
        <v>715</v>
      </c>
      <c r="E104" s="5" t="s">
        <v>716</v>
      </c>
      <c r="F104" s="1" t="str">
        <f t="shared" si="1"/>
        <v>DFW7-700 Westport Parkway,TX76177- United States</v>
      </c>
      <c r="G104" s="6" t="s">
        <v>411</v>
      </c>
      <c r="H104" s="6" t="s">
        <v>411</v>
      </c>
    </row>
    <row r="105" s="1" customFormat="1" ht="16.8" spans="1:8">
      <c r="A105" s="5" t="s">
        <v>407</v>
      </c>
      <c r="B105" s="5" t="s">
        <v>717</v>
      </c>
      <c r="C105" s="5" t="s">
        <v>674</v>
      </c>
      <c r="D105" s="5" t="s">
        <v>715</v>
      </c>
      <c r="E105" s="5" t="s">
        <v>718</v>
      </c>
      <c r="F105" s="1" t="str">
        <f t="shared" si="1"/>
        <v>FTW3-15201 Heritage Pkwy,TX76177- United States</v>
      </c>
      <c r="G105" s="6" t="s">
        <v>411</v>
      </c>
      <c r="H105" s="6" t="s">
        <v>411</v>
      </c>
    </row>
    <row r="106" s="1" customFormat="1" ht="16.8" spans="1:8">
      <c r="A106" s="5" t="s">
        <v>407</v>
      </c>
      <c r="B106" s="5" t="s">
        <v>719</v>
      </c>
      <c r="C106" s="5" t="s">
        <v>674</v>
      </c>
      <c r="D106" s="5" t="s">
        <v>720</v>
      </c>
      <c r="E106" s="5" t="s">
        <v>721</v>
      </c>
      <c r="F106" s="1" t="str">
        <f t="shared" si="1"/>
        <v>AFW1-1851 NE LOOP 820 76131-1694 - FORT WORTH,TX76131-1694- United States</v>
      </c>
      <c r="G106" s="6" t="s">
        <v>411</v>
      </c>
      <c r="H106" s="6" t="s">
        <v>411</v>
      </c>
    </row>
    <row r="107" s="1" customFormat="1" ht="16.8" spans="1:8">
      <c r="A107" s="5" t="s">
        <v>407</v>
      </c>
      <c r="B107" s="5" t="s">
        <v>722</v>
      </c>
      <c r="C107" s="5" t="s">
        <v>674</v>
      </c>
      <c r="D107" s="5" t="s">
        <v>723</v>
      </c>
      <c r="E107" s="5" t="s">
        <v>724</v>
      </c>
      <c r="F107" s="1" t="str">
        <f t="shared" si="1"/>
        <v>FTW6-2601 W Bethel Road,TX75261-4034- United States</v>
      </c>
      <c r="G107" s="6" t="s">
        <v>411</v>
      </c>
      <c r="H107" s="6" t="s">
        <v>411</v>
      </c>
    </row>
    <row r="108" s="1" customFormat="1" ht="16.8" spans="1:8">
      <c r="A108" s="5" t="s">
        <v>407</v>
      </c>
      <c r="B108" s="5" t="s">
        <v>725</v>
      </c>
      <c r="C108" s="5" t="s">
        <v>674</v>
      </c>
      <c r="D108" s="5" t="s">
        <v>726</v>
      </c>
      <c r="E108" s="5" t="s">
        <v>727</v>
      </c>
      <c r="F108" s="1" t="str">
        <f t="shared" si="1"/>
        <v>DAL2-2601 S. Airfield Drive,TX75261- United States</v>
      </c>
      <c r="G108" s="6" t="s">
        <v>411</v>
      </c>
      <c r="H108" s="6" t="s">
        <v>411</v>
      </c>
    </row>
    <row r="109" s="1" customFormat="1" ht="16.8" spans="1:8">
      <c r="A109" s="5" t="s">
        <v>407</v>
      </c>
      <c r="B109" s="5" t="s">
        <v>728</v>
      </c>
      <c r="C109" s="5" t="s">
        <v>674</v>
      </c>
      <c r="D109" s="5" t="s">
        <v>729</v>
      </c>
      <c r="E109" s="5" t="s">
        <v>730</v>
      </c>
      <c r="F109" s="1" t="str">
        <f t="shared" si="1"/>
        <v>FTW1-33333 Lyndon B Johnson Freeway,TX75241- United States</v>
      </c>
      <c r="G109" s="6" t="s">
        <v>411</v>
      </c>
      <c r="H109" s="6" t="s">
        <v>411</v>
      </c>
    </row>
    <row r="110" s="1" customFormat="1" ht="16.8" spans="1:8">
      <c r="A110" s="5" t="s">
        <v>407</v>
      </c>
      <c r="B110" s="5" t="s">
        <v>731</v>
      </c>
      <c r="C110" s="5" t="s">
        <v>674</v>
      </c>
      <c r="D110" s="5" t="s">
        <v>732</v>
      </c>
      <c r="E110" s="5" t="s">
        <v>733</v>
      </c>
      <c r="F110" s="1" t="str">
        <f t="shared" si="1"/>
        <v>AFW5-AFW5 - 12374 LAKE JUNE RD 75180-1636 - BALCH SPRINGS,TX75180-1636- United States</v>
      </c>
      <c r="G110" s="6" t="s">
        <v>411</v>
      </c>
      <c r="H110" s="6" t="s">
        <v>411</v>
      </c>
    </row>
    <row r="111" s="1" customFormat="1" ht="16.8" spans="1:8">
      <c r="A111" s="5" t="s">
        <v>407</v>
      </c>
      <c r="B111" s="5" t="s">
        <v>734</v>
      </c>
      <c r="C111" s="5" t="s">
        <v>674</v>
      </c>
      <c r="D111" s="5" t="s">
        <v>735</v>
      </c>
      <c r="E111" s="5" t="s">
        <v>736</v>
      </c>
      <c r="F111" s="1" t="str">
        <f t="shared" si="1"/>
        <v>FTW5-1475 AKRON WAY,TX75126-3566- United States</v>
      </c>
      <c r="G111" s="6" t="s">
        <v>411</v>
      </c>
      <c r="H111" s="6" t="s">
        <v>411</v>
      </c>
    </row>
    <row r="112" s="1" customFormat="1" ht="16.8" spans="1:8">
      <c r="A112" s="5" t="s">
        <v>407</v>
      </c>
      <c r="B112" s="5" t="s">
        <v>737</v>
      </c>
      <c r="C112" s="5" t="s">
        <v>674</v>
      </c>
      <c r="D112" s="5" t="s">
        <v>738</v>
      </c>
      <c r="E112" s="5" t="s">
        <v>739</v>
      </c>
      <c r="F112" s="1" t="str">
        <f t="shared" si="1"/>
        <v>DFW9-2700 Regent Blvd	Irving TX 75063,TX75063- United States</v>
      </c>
      <c r="G112" s="6" t="s">
        <v>411</v>
      </c>
      <c r="H112" s="6" t="s">
        <v>411</v>
      </c>
    </row>
    <row r="113" s="1" customFormat="1" ht="16.8" spans="1:8">
      <c r="A113" s="5" t="s">
        <v>407</v>
      </c>
      <c r="B113" s="5" t="s">
        <v>740</v>
      </c>
      <c r="C113" s="5" t="s">
        <v>674</v>
      </c>
      <c r="D113" s="5" t="s">
        <v>741</v>
      </c>
      <c r="E113" s="5" t="s">
        <v>742</v>
      </c>
      <c r="F113" s="1" t="str">
        <f t="shared" si="1"/>
        <v>DFW6-940 W Bethel Road,TX75019- United States</v>
      </c>
      <c r="G113" s="6" t="s">
        <v>411</v>
      </c>
      <c r="H113" s="6" t="s">
        <v>411</v>
      </c>
    </row>
    <row r="114" s="1" customFormat="1" ht="16.8" spans="1:8">
      <c r="A114" s="5" t="s">
        <v>407</v>
      </c>
      <c r="B114" s="5" t="s">
        <v>743</v>
      </c>
      <c r="C114" s="5" t="s">
        <v>674</v>
      </c>
      <c r="D114" s="5" t="s">
        <v>741</v>
      </c>
      <c r="E114" s="5" t="s">
        <v>744</v>
      </c>
      <c r="F114" s="1" t="str">
        <f t="shared" si="1"/>
        <v>FTW2-2701 W Bethel Rd,TX75019- United States</v>
      </c>
      <c r="G114" s="6" t="s">
        <v>411</v>
      </c>
      <c r="H114" s="6" t="s">
        <v>411</v>
      </c>
    </row>
    <row r="115" s="1" customFormat="1" ht="16.8" spans="1:8">
      <c r="A115" s="5" t="s">
        <v>407</v>
      </c>
      <c r="B115" s="5" t="s">
        <v>745</v>
      </c>
      <c r="C115" s="5" t="s">
        <v>50</v>
      </c>
      <c r="D115" s="5" t="s">
        <v>741</v>
      </c>
      <c r="E115" s="5" t="s">
        <v>746</v>
      </c>
      <c r="F115" s="1" t="str">
        <f t="shared" si="1"/>
        <v>FTW9-944 West Sandy Lake Road,75019- United States</v>
      </c>
      <c r="G115" s="6" t="s">
        <v>411</v>
      </c>
      <c r="H115" s="6" t="s">
        <v>411</v>
      </c>
    </row>
    <row r="116" s="1" customFormat="1" ht="16.8" spans="1:8">
      <c r="A116" s="5" t="s">
        <v>407</v>
      </c>
      <c r="B116" s="5" t="s">
        <v>747</v>
      </c>
      <c r="C116" s="5" t="s">
        <v>748</v>
      </c>
      <c r="D116" s="5" t="s">
        <v>749</v>
      </c>
      <c r="E116" s="5" t="s">
        <v>750</v>
      </c>
      <c r="F116" s="1" t="str">
        <f t="shared" si="1"/>
        <v>OKC1-9201 S Portland Avenue,OK73159-0003- United States</v>
      </c>
      <c r="G116" s="6" t="s">
        <v>411</v>
      </c>
      <c r="H116" s="6" t="s">
        <v>411</v>
      </c>
    </row>
    <row r="117" s="1" customFormat="1" ht="16.8" spans="1:8">
      <c r="A117" s="5" t="s">
        <v>407</v>
      </c>
      <c r="B117" s="5" t="s">
        <v>751</v>
      </c>
      <c r="C117" s="5" t="s">
        <v>748</v>
      </c>
      <c r="D117" s="5" t="s">
        <v>749</v>
      </c>
      <c r="E117" s="5" t="s">
        <v>752</v>
      </c>
      <c r="F117" s="1" t="str">
        <f t="shared" si="1"/>
        <v>OKC2-OKC2-8991 S Portland Avenue 73159-0003-OKLAHOMA CITY,OK73159-0003- United States</v>
      </c>
      <c r="G117" s="6" t="s">
        <v>411</v>
      </c>
      <c r="H117" s="6" t="s">
        <v>411</v>
      </c>
    </row>
    <row r="118" s="1" customFormat="1" ht="16.8" spans="1:8">
      <c r="A118" s="5" t="s">
        <v>407</v>
      </c>
      <c r="B118" s="5" t="s">
        <v>753</v>
      </c>
      <c r="C118" s="5" t="s">
        <v>754</v>
      </c>
      <c r="D118" s="5" t="s">
        <v>755</v>
      </c>
      <c r="E118" s="5" t="s">
        <v>756</v>
      </c>
      <c r="F118" s="1" t="str">
        <f t="shared" si="1"/>
        <v>LIT2-LIT2 - 13001 HIGHWAY 70 72117-5026 - NORTH LITTLE ROCK,AR72117-5026- United States</v>
      </c>
      <c r="G118" s="6" t="s">
        <v>411</v>
      </c>
      <c r="H118" s="6" t="s">
        <v>411</v>
      </c>
    </row>
    <row r="119" s="1" customFormat="1" ht="16.8" spans="1:8">
      <c r="A119" s="5" t="s">
        <v>407</v>
      </c>
      <c r="B119" s="5" t="s">
        <v>757</v>
      </c>
      <c r="C119" s="5" t="s">
        <v>50</v>
      </c>
      <c r="D119" s="5" t="s">
        <v>758</v>
      </c>
      <c r="E119" s="5" t="s">
        <v>759</v>
      </c>
      <c r="F119" s="1" t="str">
        <f t="shared" si="1"/>
        <v>LFT1-3550 NE EVANGELINE TRWY,70520-5976- United States</v>
      </c>
      <c r="G119" s="6" t="s">
        <v>411</v>
      </c>
      <c r="H119" s="6" t="s">
        <v>411</v>
      </c>
    </row>
    <row r="120" s="1" customFormat="1" ht="16.8" spans="1:8">
      <c r="A120" s="5" t="s">
        <v>407</v>
      </c>
      <c r="B120" s="5" t="s">
        <v>760</v>
      </c>
      <c r="C120" s="5" t="s">
        <v>50</v>
      </c>
      <c r="D120" s="5" t="s">
        <v>761</v>
      </c>
      <c r="E120" s="5" t="s">
        <v>762</v>
      </c>
      <c r="F120" s="1" t="str">
        <f t="shared" si="1"/>
        <v>ICT2-7130 N BROADWAY,67219-1410- United States</v>
      </c>
      <c r="G120" s="6" t="s">
        <v>411</v>
      </c>
      <c r="H120" s="6" t="s">
        <v>411</v>
      </c>
    </row>
    <row r="121" s="1" customFormat="1" ht="16.8" spans="1:8">
      <c r="A121" s="5" t="s">
        <v>407</v>
      </c>
      <c r="B121" s="5" t="s">
        <v>763</v>
      </c>
      <c r="C121" s="5" t="s">
        <v>764</v>
      </c>
      <c r="D121" s="5" t="s">
        <v>765</v>
      </c>
      <c r="E121" s="5" t="s">
        <v>766</v>
      </c>
      <c r="F121" s="1" t="str">
        <f t="shared" si="1"/>
        <v>MCI1-16851 W 113th St,KS66219- United States</v>
      </c>
      <c r="G121" s="6" t="s">
        <v>411</v>
      </c>
      <c r="H121" s="6" t="s">
        <v>411</v>
      </c>
    </row>
    <row r="122" s="1" customFormat="1" ht="16.8" spans="1:8">
      <c r="A122" s="5" t="s">
        <v>407</v>
      </c>
      <c r="B122" s="5" t="s">
        <v>767</v>
      </c>
      <c r="C122" s="5" t="s">
        <v>764</v>
      </c>
      <c r="D122" s="5" t="s">
        <v>765</v>
      </c>
      <c r="E122" s="5" t="s">
        <v>768</v>
      </c>
      <c r="F122" s="1" t="str">
        <f t="shared" si="1"/>
        <v>MCI5-16851 W 113th St, Lenexa,KS66219- United States</v>
      </c>
      <c r="G122" s="6" t="s">
        <v>411</v>
      </c>
      <c r="H122" s="6" t="s">
        <v>411</v>
      </c>
    </row>
    <row r="123" s="1" customFormat="1" ht="16.8" spans="1:8">
      <c r="A123" s="5" t="s">
        <v>407</v>
      </c>
      <c r="B123" s="5" t="s">
        <v>769</v>
      </c>
      <c r="C123" s="5" t="s">
        <v>764</v>
      </c>
      <c r="D123" s="5" t="s">
        <v>770</v>
      </c>
      <c r="E123" s="5" t="s">
        <v>771</v>
      </c>
      <c r="F123" s="1" t="str">
        <f t="shared" si="1"/>
        <v>FOE1-9400 LEAVENWORTH RD,KS66109- United States</v>
      </c>
      <c r="G123" s="6" t="s">
        <v>411</v>
      </c>
      <c r="H123" s="6" t="s">
        <v>411</v>
      </c>
    </row>
    <row r="124" s="1" customFormat="1" ht="16.8" spans="1:8">
      <c r="A124" s="5" t="s">
        <v>407</v>
      </c>
      <c r="B124" s="5" t="s">
        <v>772</v>
      </c>
      <c r="C124" s="5" t="s">
        <v>764</v>
      </c>
      <c r="D124" s="5" t="s">
        <v>773</v>
      </c>
      <c r="E124" s="5" t="s">
        <v>774</v>
      </c>
      <c r="F124" s="1" t="str">
        <f t="shared" si="1"/>
        <v>MKC6-6925 Riverview Avenue,KS66102-3047- United States</v>
      </c>
      <c r="G124" s="6" t="s">
        <v>411</v>
      </c>
      <c r="H124" s="6" t="s">
        <v>411</v>
      </c>
    </row>
    <row r="125" s="1" customFormat="1" ht="16.8" spans="1:8">
      <c r="A125" s="5" t="s">
        <v>407</v>
      </c>
      <c r="B125" s="5" t="s">
        <v>775</v>
      </c>
      <c r="C125" s="5" t="s">
        <v>764</v>
      </c>
      <c r="D125" s="5" t="s">
        <v>776</v>
      </c>
      <c r="E125" s="5" t="s">
        <v>777</v>
      </c>
      <c r="F125" s="1" t="str">
        <f t="shared" si="1"/>
        <v>MKC4-19645 Waverly Rd,KS66021-9588- United States</v>
      </c>
      <c r="G125" s="6" t="s">
        <v>411</v>
      </c>
      <c r="H125" s="6" t="s">
        <v>411</v>
      </c>
    </row>
    <row r="126" s="1" customFormat="1" ht="16.8" spans="1:8">
      <c r="A126" s="5" t="s">
        <v>407</v>
      </c>
      <c r="B126" s="5" t="s">
        <v>778</v>
      </c>
      <c r="C126" s="5" t="s">
        <v>50</v>
      </c>
      <c r="D126" s="5" t="s">
        <v>779</v>
      </c>
      <c r="E126" s="5" t="s">
        <v>780</v>
      </c>
      <c r="F126" s="1" t="str">
        <f t="shared" si="1"/>
        <v>STL3-3200 E Sawyer Rd Republic, MO 65738,65738- United States</v>
      </c>
      <c r="G126" s="6" t="s">
        <v>411</v>
      </c>
      <c r="H126" s="6" t="s">
        <v>411</v>
      </c>
    </row>
    <row r="127" s="1" customFormat="1" ht="16.8" spans="1:8">
      <c r="A127" s="5" t="s">
        <v>407</v>
      </c>
      <c r="B127" s="5" t="s">
        <v>781</v>
      </c>
      <c r="C127" s="5" t="s">
        <v>782</v>
      </c>
      <c r="D127" s="5" t="s">
        <v>783</v>
      </c>
      <c r="E127" s="5" t="s">
        <v>784</v>
      </c>
      <c r="F127" s="1" t="str">
        <f t="shared" si="1"/>
        <v>MCI3-2361 S. Withers Road,MO64068- United States</v>
      </c>
      <c r="G127" s="6" t="s">
        <v>411</v>
      </c>
      <c r="H127" s="6" t="s">
        <v>411</v>
      </c>
    </row>
    <row r="128" s="1" customFormat="1" ht="16.8" spans="1:8">
      <c r="A128" s="5" t="s">
        <v>407</v>
      </c>
      <c r="B128" s="5" t="s">
        <v>785</v>
      </c>
      <c r="C128" s="5" t="s">
        <v>786</v>
      </c>
      <c r="D128" s="5" t="s">
        <v>787</v>
      </c>
      <c r="E128" s="5" t="s">
        <v>788</v>
      </c>
      <c r="F128" s="1" t="str">
        <f t="shared" si="1"/>
        <v>STL6-3931 Lakeview Corporate Drive 62025-2801 - Edwardsville,IL62025-2801- United States</v>
      </c>
      <c r="G128" s="6" t="s">
        <v>411</v>
      </c>
      <c r="H128" s="6" t="s">
        <v>411</v>
      </c>
    </row>
    <row r="129" s="1" customFormat="1" ht="16.8" spans="1:8">
      <c r="A129" s="5" t="s">
        <v>407</v>
      </c>
      <c r="B129" s="5" t="s">
        <v>789</v>
      </c>
      <c r="C129" s="5" t="s">
        <v>786</v>
      </c>
      <c r="D129" s="5" t="s">
        <v>790</v>
      </c>
      <c r="E129" s="5" t="s">
        <v>791</v>
      </c>
      <c r="F129" s="1" t="str">
        <f t="shared" si="1"/>
        <v>STL4-3050 GATEWAY COMMERCE CENTER DR S,IL62025- United States</v>
      </c>
      <c r="G129" s="6" t="s">
        <v>411</v>
      </c>
      <c r="H129" s="6" t="s">
        <v>411</v>
      </c>
    </row>
    <row r="130" s="1" customFormat="1" ht="16.8" spans="1:8">
      <c r="A130" s="5" t="s">
        <v>407</v>
      </c>
      <c r="B130" s="5" t="s">
        <v>792</v>
      </c>
      <c r="C130" s="5" t="s">
        <v>786</v>
      </c>
      <c r="D130" s="5" t="s">
        <v>793</v>
      </c>
      <c r="E130" s="5" t="s">
        <v>794</v>
      </c>
      <c r="F130" s="1" t="str">
        <f t="shared" si="1"/>
        <v>HIL2-1111 N Cherry Ave,IL60642-4204- United States</v>
      </c>
      <c r="G130" s="6" t="s">
        <v>411</v>
      </c>
      <c r="H130" s="6" t="s">
        <v>411</v>
      </c>
    </row>
    <row r="131" s="1" customFormat="1" ht="16.8" spans="1:8">
      <c r="A131" s="5" t="s">
        <v>407</v>
      </c>
      <c r="B131" s="5" t="s">
        <v>795</v>
      </c>
      <c r="C131" s="5" t="s">
        <v>786</v>
      </c>
      <c r="D131" s="5" t="s">
        <v>796</v>
      </c>
      <c r="E131" s="5" t="s">
        <v>797</v>
      </c>
      <c r="F131" s="1" t="str">
        <f t="shared" ref="F131:F194" si="2">B131&amp;"-"&amp;E131&amp;","&amp;C131&amp;D131&amp;"- United States"</f>
        <v>MDW9-2865 Duke Parkway,IL60502- United States</v>
      </c>
      <c r="G131" s="6" t="s">
        <v>411</v>
      </c>
      <c r="H131" s="6" t="s">
        <v>411</v>
      </c>
    </row>
    <row r="132" s="1" customFormat="1" ht="16.8" spans="1:8">
      <c r="A132" s="5" t="s">
        <v>407</v>
      </c>
      <c r="B132" s="5" t="s">
        <v>798</v>
      </c>
      <c r="C132" s="5" t="s">
        <v>799</v>
      </c>
      <c r="D132" s="5" t="s">
        <v>800</v>
      </c>
      <c r="E132" s="5" t="s">
        <v>801</v>
      </c>
      <c r="F132" s="1" t="str">
        <f t="shared" si="2"/>
        <v>IGQ2-23257 S. Central Avenue     University Park,Illinois (IL)60484- United States</v>
      </c>
      <c r="G132" s="6" t="s">
        <v>411</v>
      </c>
      <c r="H132" s="6" t="s">
        <v>411</v>
      </c>
    </row>
    <row r="133" s="1" customFormat="1" ht="16.8" spans="1:8">
      <c r="A133" s="5" t="s">
        <v>407</v>
      </c>
      <c r="B133" s="5" t="s">
        <v>802</v>
      </c>
      <c r="C133" s="5" t="s">
        <v>786</v>
      </c>
      <c r="D133" s="5" t="s">
        <v>803</v>
      </c>
      <c r="E133" s="5" t="s">
        <v>804</v>
      </c>
      <c r="F133" s="1" t="str">
        <f t="shared" si="2"/>
        <v>MDW6-1125 W REMINGTON BLVD,IL60446-6529- United States</v>
      </c>
      <c r="G133" s="6" t="s">
        <v>411</v>
      </c>
      <c r="H133" s="6" t="s">
        <v>411</v>
      </c>
    </row>
    <row r="134" s="1" customFormat="1" ht="16.8" spans="1:8">
      <c r="A134" s="5" t="s">
        <v>407</v>
      </c>
      <c r="B134" s="5" t="s">
        <v>805</v>
      </c>
      <c r="C134" s="5" t="s">
        <v>786</v>
      </c>
      <c r="D134" s="5" t="s">
        <v>806</v>
      </c>
      <c r="E134" s="5" t="s">
        <v>807</v>
      </c>
      <c r="F134" s="1" t="str">
        <f t="shared" si="2"/>
        <v>芝加哥-16675-W. Prologis Parkway Suite 300,IL60441- United States</v>
      </c>
      <c r="G134" s="6" t="s">
        <v>411</v>
      </c>
      <c r="H134" s="6" t="s">
        <v>411</v>
      </c>
    </row>
    <row r="135" s="1" customFormat="1" ht="16.8" spans="1:8">
      <c r="A135" s="5" t="s">
        <v>407</v>
      </c>
      <c r="B135" s="5" t="s">
        <v>808</v>
      </c>
      <c r="C135" s="5" t="s">
        <v>786</v>
      </c>
      <c r="D135" s="5" t="s">
        <v>809</v>
      </c>
      <c r="E135" s="5" t="s">
        <v>810</v>
      </c>
      <c r="F135" s="1" t="str">
        <f t="shared" si="2"/>
        <v>MDW2-250 Emerald Drive,IL60433-3280- United States</v>
      </c>
      <c r="G135" s="6" t="s">
        <v>411</v>
      </c>
      <c r="H135" s="6" t="s">
        <v>411</v>
      </c>
    </row>
    <row r="136" s="1" customFormat="1" ht="16.8" spans="1:8">
      <c r="A136" s="5" t="s">
        <v>407</v>
      </c>
      <c r="B136" s="5" t="s">
        <v>811</v>
      </c>
      <c r="C136" s="5" t="s">
        <v>786</v>
      </c>
      <c r="D136" s="5" t="s">
        <v>812</v>
      </c>
      <c r="E136" s="5" t="s">
        <v>813</v>
      </c>
      <c r="F136" s="1" t="str">
        <f t="shared" si="2"/>
        <v>ORD2-23714 W Amoco RdCHANNAHON, IL 60410-8758US (ORD2),IL60410-8758- United States</v>
      </c>
      <c r="G136" s="6" t="s">
        <v>411</v>
      </c>
      <c r="H136" s="6" t="s">
        <v>411</v>
      </c>
    </row>
    <row r="137" s="1" customFormat="1" ht="16.8" spans="1:8">
      <c r="A137" s="5" t="s">
        <v>407</v>
      </c>
      <c r="B137" s="5" t="s">
        <v>814</v>
      </c>
      <c r="C137" s="5" t="s">
        <v>786</v>
      </c>
      <c r="D137" s="5" t="s">
        <v>815</v>
      </c>
      <c r="E137" s="5" t="s">
        <v>816</v>
      </c>
      <c r="F137" s="1" t="str">
        <f t="shared" si="2"/>
        <v>ORD6-1250 N Mittel Blvd,IL60191- United States</v>
      </c>
      <c r="G137" s="6" t="s">
        <v>411</v>
      </c>
      <c r="H137" s="6" t="s">
        <v>411</v>
      </c>
    </row>
    <row r="138" s="1" customFormat="1" ht="16.8" spans="1:8">
      <c r="A138" s="5" t="s">
        <v>407</v>
      </c>
      <c r="B138" s="5" t="s">
        <v>817</v>
      </c>
      <c r="C138" s="5" t="s">
        <v>786</v>
      </c>
      <c r="D138" s="5" t="s">
        <v>818</v>
      </c>
      <c r="E138" s="5" t="s">
        <v>819</v>
      </c>
      <c r="F138" s="1" t="str">
        <f t="shared" si="2"/>
        <v>RFD2-RFD2 - 11500 Freeman Road 60142 - HUNTLEY,IL60142- United States</v>
      </c>
      <c r="G138" s="6" t="s">
        <v>411</v>
      </c>
      <c r="H138" s="6" t="s">
        <v>411</v>
      </c>
    </row>
    <row r="139" s="1" customFormat="1" ht="16.8" spans="1:8">
      <c r="A139" s="5" t="s">
        <v>407</v>
      </c>
      <c r="B139" s="5" t="s">
        <v>820</v>
      </c>
      <c r="C139" s="5" t="s">
        <v>786</v>
      </c>
      <c r="D139" s="5" t="s">
        <v>818</v>
      </c>
      <c r="E139" s="5" t="s">
        <v>821</v>
      </c>
      <c r="F139" s="1" t="str">
        <f t="shared" si="2"/>
        <v>RFD4-11400 Venture Court,IL60142- United States</v>
      </c>
      <c r="G139" s="6" t="s">
        <v>411</v>
      </c>
      <c r="H139" s="6" t="s">
        <v>411</v>
      </c>
    </row>
    <row r="140" s="1" customFormat="1" ht="16.8" spans="1:8">
      <c r="A140" s="5" t="s">
        <v>407</v>
      </c>
      <c r="B140" s="5" t="s">
        <v>822</v>
      </c>
      <c r="C140" s="5" t="s">
        <v>786</v>
      </c>
      <c r="D140" s="5" t="s">
        <v>823</v>
      </c>
      <c r="E140" s="5" t="s">
        <v>824</v>
      </c>
      <c r="F140" s="1" t="str">
        <f t="shared" si="2"/>
        <v>MDW8-1750 Bridge Drive,IL60085- United States</v>
      </c>
      <c r="G140" s="6" t="s">
        <v>411</v>
      </c>
      <c r="H140" s="6" t="s">
        <v>411</v>
      </c>
    </row>
    <row r="141" s="1" customFormat="1" ht="16.8" spans="1:8">
      <c r="A141" s="5" t="s">
        <v>407</v>
      </c>
      <c r="B141" s="5" t="s">
        <v>825</v>
      </c>
      <c r="C141" s="5" t="s">
        <v>826</v>
      </c>
      <c r="D141" s="5" t="s">
        <v>827</v>
      </c>
      <c r="E141" s="5" t="s">
        <v>828</v>
      </c>
      <c r="F141" s="1" t="str">
        <f t="shared" si="2"/>
        <v>MSP1-2601 4th Avenue East,MN55379- United States</v>
      </c>
      <c r="G141" s="6" t="s">
        <v>411</v>
      </c>
      <c r="H141" s="6" t="s">
        <v>411</v>
      </c>
    </row>
    <row r="142" s="1" customFormat="1" ht="16.8" spans="1:8">
      <c r="A142" s="5" t="s">
        <v>407</v>
      </c>
      <c r="B142" s="5" t="s">
        <v>829</v>
      </c>
      <c r="C142" s="5" t="s">
        <v>826</v>
      </c>
      <c r="D142" s="5" t="s">
        <v>830</v>
      </c>
      <c r="E142" s="5" t="s">
        <v>831</v>
      </c>
      <c r="F142" s="1" t="str">
        <f t="shared" si="2"/>
        <v>MSP6-9800 217TH ST W,MN55044- United States</v>
      </c>
      <c r="G142" s="6" t="s">
        <v>411</v>
      </c>
      <c r="H142" s="6" t="s">
        <v>411</v>
      </c>
    </row>
    <row r="143" s="1" customFormat="1" ht="16.8" spans="1:8">
      <c r="A143" s="5" t="s">
        <v>407</v>
      </c>
      <c r="B143" s="5" t="s">
        <v>832</v>
      </c>
      <c r="C143" s="5" t="s">
        <v>833</v>
      </c>
      <c r="D143" s="5" t="s">
        <v>834</v>
      </c>
      <c r="E143" s="5" t="s">
        <v>835</v>
      </c>
      <c r="F143" s="1" t="str">
        <f t="shared" si="2"/>
        <v>JVL1-1255 GATEWAY BLVD,WI53511-9709- United States</v>
      </c>
      <c r="G143" s="6" t="s">
        <v>411</v>
      </c>
      <c r="H143" s="6" t="s">
        <v>411</v>
      </c>
    </row>
    <row r="144" s="1" customFormat="1" ht="16.8" spans="1:8">
      <c r="A144" s="5" t="s">
        <v>407</v>
      </c>
      <c r="B144" s="5" t="s">
        <v>836</v>
      </c>
      <c r="C144" s="5" t="s">
        <v>833</v>
      </c>
      <c r="D144" s="5" t="s">
        <v>837</v>
      </c>
      <c r="E144" s="5" t="s">
        <v>838</v>
      </c>
      <c r="F144" s="1" t="str">
        <f t="shared" si="2"/>
        <v>JVLT-1255 Gateway BIvd, BELOIT,WI53510- United States</v>
      </c>
      <c r="G144" s="6" t="s">
        <v>411</v>
      </c>
      <c r="H144" s="6" t="s">
        <v>411</v>
      </c>
    </row>
    <row r="145" s="1" customFormat="1" ht="16.8" spans="1:8">
      <c r="A145" s="5" t="s">
        <v>407</v>
      </c>
      <c r="B145" s="5" t="s">
        <v>839</v>
      </c>
      <c r="C145" s="5" t="s">
        <v>833</v>
      </c>
      <c r="D145" s="5" t="s">
        <v>840</v>
      </c>
      <c r="E145" s="5" t="s">
        <v>841</v>
      </c>
      <c r="F145" s="1" t="str">
        <f t="shared" si="2"/>
        <v>MKE1-3501 120th Ave,WI53144- United States</v>
      </c>
      <c r="G145" s="6" t="s">
        <v>411</v>
      </c>
      <c r="H145" s="6" t="s">
        <v>411</v>
      </c>
    </row>
    <row r="146" s="1" customFormat="1" ht="16.8" spans="1:8">
      <c r="A146" s="5" t="s">
        <v>407</v>
      </c>
      <c r="B146" s="5" t="s">
        <v>842</v>
      </c>
      <c r="C146" s="5" t="s">
        <v>833</v>
      </c>
      <c r="D146" s="5" t="s">
        <v>840</v>
      </c>
      <c r="E146" s="5" t="s">
        <v>843</v>
      </c>
      <c r="F146" s="1" t="str">
        <f t="shared" si="2"/>
        <v>MKE5-11211?Burlington?Road,WI53144- United States</v>
      </c>
      <c r="G146" s="6" t="s">
        <v>411</v>
      </c>
      <c r="H146" s="6" t="s">
        <v>411</v>
      </c>
    </row>
    <row r="147" s="1" customFormat="1" ht="16.8" spans="1:8">
      <c r="A147" s="5" t="s">
        <v>407</v>
      </c>
      <c r="B147" s="5" t="s">
        <v>844</v>
      </c>
      <c r="C147" s="5" t="s">
        <v>833</v>
      </c>
      <c r="D147" s="5" t="s">
        <v>845</v>
      </c>
      <c r="E147" s="5" t="s">
        <v>846</v>
      </c>
      <c r="F147" s="1" t="str">
        <f t="shared" si="2"/>
        <v>XMD4-6222 77th Ave 53142 - Kenosha,WI53142- United States</v>
      </c>
      <c r="G147" s="6" t="s">
        <v>411</v>
      </c>
      <c r="H147" s="6" t="s">
        <v>411</v>
      </c>
    </row>
    <row r="148" s="1" customFormat="1" ht="16.8" spans="1:8">
      <c r="A148" s="5" t="s">
        <v>407</v>
      </c>
      <c r="B148" s="5" t="s">
        <v>847</v>
      </c>
      <c r="C148" s="5" t="s">
        <v>848</v>
      </c>
      <c r="D148" s="5" t="s">
        <v>849</v>
      </c>
      <c r="E148" s="5" t="s">
        <v>850</v>
      </c>
      <c r="F148" s="1" t="str">
        <f t="shared" si="2"/>
        <v>LAN2-UPS备用-5801 Clyde Park Ave SW,MI49509- United States</v>
      </c>
      <c r="G148" s="6" t="s">
        <v>411</v>
      </c>
      <c r="H148" s="6" t="s">
        <v>411</v>
      </c>
    </row>
    <row r="149" s="1" customFormat="1" ht="16.8" spans="1:8">
      <c r="A149" s="5" t="s">
        <v>407</v>
      </c>
      <c r="B149" s="5" t="s">
        <v>851</v>
      </c>
      <c r="C149" s="5" t="s">
        <v>848</v>
      </c>
      <c r="D149" s="5" t="s">
        <v>852</v>
      </c>
      <c r="E149" s="5" t="s">
        <v>853</v>
      </c>
      <c r="F149" s="1" t="str">
        <f t="shared" si="2"/>
        <v>GRR1-500 68th Street SE,MI49316-9141- United States</v>
      </c>
      <c r="G149" s="6" t="s">
        <v>411</v>
      </c>
      <c r="H149" s="6" t="s">
        <v>411</v>
      </c>
    </row>
    <row r="150" s="1" customFormat="1" ht="16.8" spans="1:8">
      <c r="A150" s="5" t="s">
        <v>407</v>
      </c>
      <c r="B150" s="5" t="s">
        <v>854</v>
      </c>
      <c r="C150" s="5" t="s">
        <v>848</v>
      </c>
      <c r="D150" s="5" t="s">
        <v>855</v>
      </c>
      <c r="E150" s="5" t="s">
        <v>856</v>
      </c>
      <c r="F150" s="1" t="str">
        <f t="shared" si="2"/>
        <v>LAN2-6500 W Mt Hope Hwy,MI48917- United States</v>
      </c>
      <c r="G150" s="6" t="s">
        <v>411</v>
      </c>
      <c r="H150" s="6" t="s">
        <v>411</v>
      </c>
    </row>
    <row r="151" s="1" customFormat="1" ht="16.8" spans="1:8">
      <c r="A151" s="5" t="s">
        <v>407</v>
      </c>
      <c r="B151" s="5" t="s">
        <v>857</v>
      </c>
      <c r="C151" s="5" t="s">
        <v>848</v>
      </c>
      <c r="D151" s="5" t="s">
        <v>858</v>
      </c>
      <c r="E151" s="5" t="s">
        <v>859</v>
      </c>
      <c r="F151" s="1" t="str">
        <f t="shared" si="2"/>
        <v>DET2-50500 Mound Rd,MI48317- United States</v>
      </c>
      <c r="G151" s="6" t="s">
        <v>411</v>
      </c>
      <c r="H151" s="6" t="s">
        <v>411</v>
      </c>
    </row>
    <row r="152" s="1" customFormat="1" ht="16.8" spans="1:8">
      <c r="A152" s="5" t="s">
        <v>407</v>
      </c>
      <c r="B152" s="5" t="s">
        <v>860</v>
      </c>
      <c r="C152" s="5" t="s">
        <v>848</v>
      </c>
      <c r="D152" s="5" t="s">
        <v>861</v>
      </c>
      <c r="E152" s="5" t="s">
        <v>862</v>
      </c>
      <c r="F152" s="1" t="str">
        <f t="shared" si="2"/>
        <v>DTW1-32801 Ecorse Road,MI48174- United States</v>
      </c>
      <c r="G152" s="6" t="s">
        <v>411</v>
      </c>
      <c r="H152" s="6" t="s">
        <v>411</v>
      </c>
    </row>
    <row r="153" s="1" customFormat="1" ht="16.8" spans="1:8">
      <c r="A153" s="5" t="s">
        <v>407</v>
      </c>
      <c r="B153" s="5" t="s">
        <v>863</v>
      </c>
      <c r="C153" s="5" t="s">
        <v>848</v>
      </c>
      <c r="D153" s="5" t="s">
        <v>861</v>
      </c>
      <c r="E153" s="5" t="s">
        <v>864</v>
      </c>
      <c r="F153" s="1" t="str">
        <f t="shared" si="2"/>
        <v>DTW3-33701 PRESCOTT ST,MI48174- United States</v>
      </c>
      <c r="G153" s="6" t="s">
        <v>411</v>
      </c>
      <c r="H153" s="6" t="s">
        <v>411</v>
      </c>
    </row>
    <row r="154" s="1" customFormat="1" ht="16.8" spans="1:8">
      <c r="A154" s="5" t="s">
        <v>407</v>
      </c>
      <c r="B154" s="5" t="s">
        <v>865</v>
      </c>
      <c r="C154" s="5" t="s">
        <v>848</v>
      </c>
      <c r="D154" s="5" t="s">
        <v>866</v>
      </c>
      <c r="E154" s="5" t="s">
        <v>867</v>
      </c>
      <c r="F154" s="1" t="str">
        <f t="shared" si="2"/>
        <v>DET1-39000 Amrhein Road,MI48150- United States</v>
      </c>
      <c r="G154" s="6" t="s">
        <v>411</v>
      </c>
      <c r="H154" s="6" t="s">
        <v>411</v>
      </c>
    </row>
    <row r="155" s="1" customFormat="1" ht="16.8" spans="1:8">
      <c r="A155" s="5" t="s">
        <v>407</v>
      </c>
      <c r="B155" s="5" t="s">
        <v>868</v>
      </c>
      <c r="C155" s="5" t="s">
        <v>869</v>
      </c>
      <c r="D155" s="5" t="s">
        <v>870</v>
      </c>
      <c r="E155" s="5" t="s">
        <v>871</v>
      </c>
      <c r="F155" s="1" t="str">
        <f t="shared" si="2"/>
        <v>SDF8-900 Patrol Rd,IN47130- United States</v>
      </c>
      <c r="G155" s="6" t="s">
        <v>411</v>
      </c>
      <c r="H155" s="6" t="s">
        <v>411</v>
      </c>
    </row>
    <row r="156" s="1" customFormat="1" ht="16.8" spans="1:8">
      <c r="A156" s="5" t="s">
        <v>407</v>
      </c>
      <c r="B156" s="5" t="s">
        <v>872</v>
      </c>
      <c r="C156" s="5" t="s">
        <v>50</v>
      </c>
      <c r="D156" s="5" t="s">
        <v>873</v>
      </c>
      <c r="E156" s="5" t="s">
        <v>874</v>
      </c>
      <c r="F156" s="1" t="str">
        <f t="shared" si="2"/>
        <v>FWA4-9798 Smith Road,46809-9771- United States</v>
      </c>
      <c r="G156" s="6" t="s">
        <v>411</v>
      </c>
      <c r="H156" s="6" t="s">
        <v>411</v>
      </c>
    </row>
    <row r="157" s="1" customFormat="1" ht="16.8" spans="1:8">
      <c r="A157" s="5" t="s">
        <v>407</v>
      </c>
      <c r="B157" s="5" t="s">
        <v>875</v>
      </c>
      <c r="C157" s="5" t="s">
        <v>869</v>
      </c>
      <c r="D157" s="5" t="s">
        <v>876</v>
      </c>
      <c r="E157" s="5" t="s">
        <v>877</v>
      </c>
      <c r="F157" s="1" t="str">
        <f t="shared" si="2"/>
        <v>PPO4-9850 Mississippi Street,IN46307- United States</v>
      </c>
      <c r="G157" s="6" t="s">
        <v>411</v>
      </c>
      <c r="H157" s="6" t="s">
        <v>411</v>
      </c>
    </row>
    <row r="158" s="1" customFormat="1" ht="16.8" spans="1:8">
      <c r="A158" s="5" t="s">
        <v>407</v>
      </c>
      <c r="B158" s="5" t="s">
        <v>878</v>
      </c>
      <c r="C158" s="5" t="s">
        <v>869</v>
      </c>
      <c r="D158" s="5" t="s">
        <v>879</v>
      </c>
      <c r="E158" s="5" t="s">
        <v>880</v>
      </c>
      <c r="F158" s="1" t="str">
        <f t="shared" si="2"/>
        <v>IND4-710 S. Girls School Rd,IN46231- United States</v>
      </c>
      <c r="G158" s="6" t="s">
        <v>411</v>
      </c>
      <c r="H158" s="6" t="s">
        <v>411</v>
      </c>
    </row>
    <row r="159" s="1" customFormat="1" ht="16.8" spans="1:8">
      <c r="A159" s="5" t="s">
        <v>407</v>
      </c>
      <c r="B159" s="5" t="s">
        <v>881</v>
      </c>
      <c r="C159" s="5" t="s">
        <v>50</v>
      </c>
      <c r="D159" s="5" t="s">
        <v>882</v>
      </c>
      <c r="E159" s="5" t="s">
        <v>883</v>
      </c>
      <c r="F159" s="1" t="str">
        <f t="shared" si="2"/>
        <v>MQJ2-19 BOB GLIDDEN BLVD 46184-9108 - WHITELAND,46184-9108- United States</v>
      </c>
      <c r="G159" s="6" t="s">
        <v>411</v>
      </c>
      <c r="H159" s="6" t="s">
        <v>411</v>
      </c>
    </row>
    <row r="160" s="1" customFormat="1" ht="16.8" spans="1:8">
      <c r="A160" s="5" t="s">
        <v>407</v>
      </c>
      <c r="B160" s="5" t="s">
        <v>884</v>
      </c>
      <c r="C160" s="5" t="s">
        <v>869</v>
      </c>
      <c r="D160" s="5" t="s">
        <v>885</v>
      </c>
      <c r="E160" s="5" t="s">
        <v>886</v>
      </c>
      <c r="F160" s="1" t="str">
        <f t="shared" si="2"/>
        <v>IND2-715 Airtech Pkwy,IN46168- United States</v>
      </c>
      <c r="G160" s="6" t="s">
        <v>411</v>
      </c>
      <c r="H160" s="6" t="s">
        <v>411</v>
      </c>
    </row>
    <row r="161" s="1" customFormat="1" ht="16.8" spans="1:8">
      <c r="A161" s="5" t="s">
        <v>407</v>
      </c>
      <c r="B161" s="5" t="s">
        <v>887</v>
      </c>
      <c r="C161" s="5" t="s">
        <v>869</v>
      </c>
      <c r="D161" s="5" t="s">
        <v>885</v>
      </c>
      <c r="E161" s="5" t="s">
        <v>888</v>
      </c>
      <c r="F161" s="1" t="str">
        <f t="shared" si="2"/>
        <v>IND3-715 Airtech Pkwy Suite 195,IN46168- United States</v>
      </c>
      <c r="G161" s="6" t="s">
        <v>411</v>
      </c>
      <c r="H161" s="6" t="s">
        <v>411</v>
      </c>
    </row>
    <row r="162" s="1" customFormat="1" ht="16.8" spans="1:8">
      <c r="A162" s="5" t="s">
        <v>407</v>
      </c>
      <c r="B162" s="5" t="s">
        <v>889</v>
      </c>
      <c r="C162" s="5" t="s">
        <v>869</v>
      </c>
      <c r="D162" s="5" t="s">
        <v>885</v>
      </c>
      <c r="E162" s="5" t="s">
        <v>890</v>
      </c>
      <c r="F162" s="1" t="str">
        <f t="shared" si="2"/>
        <v>IND5-800 Perry Road,IN46168- United States</v>
      </c>
      <c r="G162" s="6" t="s">
        <v>411</v>
      </c>
      <c r="H162" s="6" t="s">
        <v>411</v>
      </c>
    </row>
    <row r="163" s="1" customFormat="1" ht="16.8" spans="1:8">
      <c r="A163" s="5" t="s">
        <v>407</v>
      </c>
      <c r="B163" s="5" t="s">
        <v>891</v>
      </c>
      <c r="C163" s="5" t="s">
        <v>869</v>
      </c>
      <c r="D163" s="5" t="s">
        <v>885</v>
      </c>
      <c r="E163" s="5" t="s">
        <v>892</v>
      </c>
      <c r="F163" s="1" t="str">
        <f t="shared" si="2"/>
        <v>MQJ1-UPS-4412 W 300 RD N,IN46168- United States</v>
      </c>
      <c r="G163" s="6" t="s">
        <v>411</v>
      </c>
      <c r="H163" s="6" t="s">
        <v>411</v>
      </c>
    </row>
    <row r="164" s="1" customFormat="1" ht="16.8" spans="1:8">
      <c r="A164" s="5" t="s">
        <v>407</v>
      </c>
      <c r="B164" s="5" t="s">
        <v>893</v>
      </c>
      <c r="C164" s="5" t="s">
        <v>869</v>
      </c>
      <c r="D164" s="5" t="s">
        <v>894</v>
      </c>
      <c r="E164" s="5" t="s">
        <v>895</v>
      </c>
      <c r="F164" s="1" t="str">
        <f t="shared" si="2"/>
        <v>IND9-1151 S GRAHAM RD,IN46143-7830- United States</v>
      </c>
      <c r="G164" s="6" t="s">
        <v>411</v>
      </c>
      <c r="H164" s="6" t="s">
        <v>411</v>
      </c>
    </row>
    <row r="165" s="1" customFormat="1" ht="16.8" spans="1:8">
      <c r="A165" s="5" t="s">
        <v>407</v>
      </c>
      <c r="B165" s="5" t="s">
        <v>896</v>
      </c>
      <c r="C165" s="5" t="s">
        <v>869</v>
      </c>
      <c r="D165" s="5" t="s">
        <v>897</v>
      </c>
      <c r="E165" s="5" t="s">
        <v>898</v>
      </c>
      <c r="F165" s="1" t="str">
        <f t="shared" si="2"/>
        <v>MQJ1-4412 W 300 N 46140-7099 - GREENFIELD,IN46140-7099- United States</v>
      </c>
      <c r="G165" s="6" t="s">
        <v>411</v>
      </c>
      <c r="H165" s="6" t="s">
        <v>411</v>
      </c>
    </row>
    <row r="166" s="1" customFormat="1" ht="16.8" spans="1:8">
      <c r="A166" s="5" t="s">
        <v>407</v>
      </c>
      <c r="B166" s="5" t="s">
        <v>899</v>
      </c>
      <c r="C166" s="5" t="s">
        <v>869</v>
      </c>
      <c r="D166" s="5" t="s">
        <v>900</v>
      </c>
      <c r="E166" s="5" t="s">
        <v>901</v>
      </c>
      <c r="F166" s="1" t="str">
        <f t="shared" si="2"/>
        <v>IND1-4255 Anson Blvd,IN46075- United States</v>
      </c>
      <c r="G166" s="6" t="s">
        <v>411</v>
      </c>
      <c r="H166" s="6" t="s">
        <v>411</v>
      </c>
    </row>
    <row r="167" s="1" customFormat="1" ht="16.8" spans="1:8">
      <c r="A167" s="5" t="s">
        <v>407</v>
      </c>
      <c r="B167" s="5" t="s">
        <v>902</v>
      </c>
      <c r="C167" s="5" t="s">
        <v>903</v>
      </c>
      <c r="D167" s="5" t="s">
        <v>904</v>
      </c>
      <c r="E167" s="5" t="s">
        <v>905</v>
      </c>
      <c r="F167" s="1" t="str">
        <f t="shared" si="2"/>
        <v>CMH3-700 GATEWAY BLVD,OH45050- United States</v>
      </c>
      <c r="G167" s="6" t="s">
        <v>411</v>
      </c>
      <c r="H167" s="6" t="s">
        <v>411</v>
      </c>
    </row>
    <row r="168" s="1" customFormat="1" ht="16.8" spans="1:8">
      <c r="A168" s="5" t="s">
        <v>407</v>
      </c>
      <c r="B168" s="5" t="s">
        <v>906</v>
      </c>
      <c r="C168" s="5" t="s">
        <v>50</v>
      </c>
      <c r="D168" s="5" t="s">
        <v>907</v>
      </c>
      <c r="E168" s="5" t="s">
        <v>908</v>
      </c>
      <c r="F168" s="1" t="str">
        <f t="shared" si="2"/>
        <v>AKR1-4747 Rebar Ave NE CANTON,44705- United States</v>
      </c>
      <c r="G168" s="6" t="s">
        <v>411</v>
      </c>
      <c r="H168" s="6" t="s">
        <v>411</v>
      </c>
    </row>
    <row r="169" s="1" customFormat="1" ht="16.8" spans="1:8">
      <c r="A169" s="5" t="s">
        <v>407</v>
      </c>
      <c r="B169" s="5" t="s">
        <v>909</v>
      </c>
      <c r="C169" s="5" t="s">
        <v>903</v>
      </c>
      <c r="D169" s="5" t="s">
        <v>910</v>
      </c>
      <c r="E169" s="5" t="s">
        <v>911</v>
      </c>
      <c r="F169" s="1" t="str">
        <f t="shared" si="2"/>
        <v>CLE3-1155 Babbitt Road,OH44132- United States</v>
      </c>
      <c r="G169" s="6" t="s">
        <v>411</v>
      </c>
      <c r="H169" s="6" t="s">
        <v>411</v>
      </c>
    </row>
    <row r="170" s="1" customFormat="1" ht="16.8" spans="1:8">
      <c r="A170" s="5" t="s">
        <v>407</v>
      </c>
      <c r="B170" s="5" t="s">
        <v>912</v>
      </c>
      <c r="C170" s="5" t="s">
        <v>903</v>
      </c>
      <c r="D170" s="5" t="s">
        <v>913</v>
      </c>
      <c r="E170" s="5" t="s">
        <v>914</v>
      </c>
      <c r="F170" s="1" t="str">
        <f t="shared" si="2"/>
        <v>PCW1-27400 Crossroads Parkway,OH43460-1706- United States</v>
      </c>
      <c r="G170" s="6" t="s">
        <v>411</v>
      </c>
      <c r="H170" s="6" t="s">
        <v>411</v>
      </c>
    </row>
    <row r="171" s="1" customFormat="1" ht="16.8" spans="1:8">
      <c r="A171" s="5" t="s">
        <v>407</v>
      </c>
      <c r="B171" s="5" t="s">
        <v>915</v>
      </c>
      <c r="C171" s="5" t="s">
        <v>903</v>
      </c>
      <c r="D171" s="5" t="s">
        <v>916</v>
      </c>
      <c r="E171" s="5" t="s">
        <v>917</v>
      </c>
      <c r="F171" s="1" t="str">
        <f t="shared" si="2"/>
        <v>CMH2-6050 Gateway Court,OH43125- United States</v>
      </c>
      <c r="G171" s="6" t="s">
        <v>411</v>
      </c>
      <c r="H171" s="6" t="s">
        <v>411</v>
      </c>
    </row>
    <row r="172" s="1" customFormat="1" ht="16.8" spans="1:8">
      <c r="A172" s="5" t="s">
        <v>407</v>
      </c>
      <c r="B172" s="5" t="s">
        <v>918</v>
      </c>
      <c r="C172" s="5" t="s">
        <v>903</v>
      </c>
      <c r="D172" s="5" t="s">
        <v>919</v>
      </c>
      <c r="E172" s="5" t="s">
        <v>920</v>
      </c>
      <c r="F172" s="1" t="str">
        <f t="shared" si="2"/>
        <v>CMH1-11999 National Road SW,OH43062-7793- United States</v>
      </c>
      <c r="G172" s="6" t="s">
        <v>411</v>
      </c>
      <c r="H172" s="6" t="s">
        <v>411</v>
      </c>
    </row>
    <row r="173" s="1" customFormat="1" ht="16.8" spans="1:8">
      <c r="A173" s="5" t="s">
        <v>407</v>
      </c>
      <c r="B173" s="5" t="s">
        <v>921</v>
      </c>
      <c r="C173" s="5" t="s">
        <v>903</v>
      </c>
      <c r="D173" s="5" t="s">
        <v>922</v>
      </c>
      <c r="E173" s="5" t="s">
        <v>923</v>
      </c>
      <c r="F173" s="1" t="str">
        <f t="shared" si="2"/>
        <v>CMH7-1245 BEECH RD SW 43054-7762 - NEW ALBANY,OH43054-7762- United States</v>
      </c>
      <c r="G173" s="6" t="s">
        <v>411</v>
      </c>
      <c r="H173" s="6" t="s">
        <v>411</v>
      </c>
    </row>
    <row r="174" s="1" customFormat="1" ht="16.8" spans="1:8">
      <c r="A174" s="5" t="s">
        <v>407</v>
      </c>
      <c r="B174" s="5" t="s">
        <v>924</v>
      </c>
      <c r="C174" s="5" t="s">
        <v>925</v>
      </c>
      <c r="D174" s="5" t="s">
        <v>926</v>
      </c>
      <c r="E174" s="5" t="s">
        <v>927</v>
      </c>
      <c r="F174" s="1" t="str">
        <f t="shared" si="2"/>
        <v>SDF1-1050 South Columbia,KY42718- United States</v>
      </c>
      <c r="G174" s="6" t="s">
        <v>411</v>
      </c>
      <c r="H174" s="6" t="s">
        <v>411</v>
      </c>
    </row>
    <row r="175" s="1" customFormat="1" ht="16.8" spans="1:8">
      <c r="A175" s="5" t="s">
        <v>407</v>
      </c>
      <c r="B175" s="5" t="s">
        <v>928</v>
      </c>
      <c r="C175" s="5" t="s">
        <v>925</v>
      </c>
      <c r="D175" s="5" t="s">
        <v>929</v>
      </c>
      <c r="E175" s="5" t="s">
        <v>930</v>
      </c>
      <c r="F175" s="1" t="str">
        <f t="shared" si="2"/>
        <v>CVG5-2285 Litton Way,KY41048-8435- United States</v>
      </c>
      <c r="G175" s="6" t="s">
        <v>411</v>
      </c>
      <c r="H175" s="6" t="s">
        <v>411</v>
      </c>
    </row>
    <row r="176" s="1" customFormat="1" ht="16.8" spans="1:8">
      <c r="A176" s="5" t="s">
        <v>407</v>
      </c>
      <c r="B176" s="5" t="s">
        <v>931</v>
      </c>
      <c r="C176" s="5" t="s">
        <v>925</v>
      </c>
      <c r="D176" s="5" t="s">
        <v>932</v>
      </c>
      <c r="E176" s="5" t="s">
        <v>933</v>
      </c>
      <c r="F176" s="1" t="str">
        <f t="shared" si="2"/>
        <v>CVG1-1155 Worldwide Blvd.,KY41048- United States</v>
      </c>
      <c r="G176" s="6" t="s">
        <v>411</v>
      </c>
      <c r="H176" s="6" t="s">
        <v>411</v>
      </c>
    </row>
    <row r="177" s="1" customFormat="1" ht="16.8" spans="1:8">
      <c r="A177" s="5" t="s">
        <v>407</v>
      </c>
      <c r="B177" s="5" t="s">
        <v>934</v>
      </c>
      <c r="C177" s="5" t="s">
        <v>925</v>
      </c>
      <c r="D177" s="5" t="s">
        <v>932</v>
      </c>
      <c r="E177" s="5" t="s">
        <v>935</v>
      </c>
      <c r="F177" s="1" t="str">
        <f t="shared" si="2"/>
        <v>CVG2-1600 Worldwide Blvd,KY41048- United States</v>
      </c>
      <c r="G177" s="6" t="s">
        <v>411</v>
      </c>
      <c r="H177" s="6" t="s">
        <v>411</v>
      </c>
    </row>
    <row r="178" s="1" customFormat="1" ht="16.8" spans="1:8">
      <c r="A178" s="5" t="s">
        <v>407</v>
      </c>
      <c r="B178" s="5" t="s">
        <v>936</v>
      </c>
      <c r="C178" s="5" t="s">
        <v>925</v>
      </c>
      <c r="D178" s="5" t="s">
        <v>932</v>
      </c>
      <c r="E178" s="5" t="s">
        <v>937</v>
      </c>
      <c r="F178" s="1" t="str">
        <f t="shared" si="2"/>
        <v>CVG3-3680 Langley Dr.,KY41048- United States</v>
      </c>
      <c r="G178" s="6" t="s">
        <v>411</v>
      </c>
      <c r="H178" s="6" t="s">
        <v>411</v>
      </c>
    </row>
    <row r="179" s="1" customFormat="1" ht="16.8" spans="1:8">
      <c r="A179" s="5" t="s">
        <v>407</v>
      </c>
      <c r="B179" s="5" t="s">
        <v>938</v>
      </c>
      <c r="C179" s="5" t="s">
        <v>925</v>
      </c>
      <c r="D179" s="5" t="s">
        <v>932</v>
      </c>
      <c r="E179" s="5" t="s">
        <v>939</v>
      </c>
      <c r="F179" s="1" t="str">
        <f t="shared" si="2"/>
        <v>IVSB-3521 POINT PLEASANT RD,KY41048- United States</v>
      </c>
      <c r="G179" s="6" t="s">
        <v>411</v>
      </c>
      <c r="H179" s="6" t="s">
        <v>411</v>
      </c>
    </row>
    <row r="180" s="1" customFormat="1" ht="16.8" spans="1:8">
      <c r="A180" s="5" t="s">
        <v>407</v>
      </c>
      <c r="B180" s="5" t="s">
        <v>940</v>
      </c>
      <c r="C180" s="5" t="s">
        <v>925</v>
      </c>
      <c r="D180" s="5" t="s">
        <v>941</v>
      </c>
      <c r="E180" s="5" t="s">
        <v>942</v>
      </c>
      <c r="F180" s="1" t="str">
        <f t="shared" si="2"/>
        <v>IVSA-4620 Olympic Blvd,KY41018- United States</v>
      </c>
      <c r="G180" s="6" t="s">
        <v>411</v>
      </c>
      <c r="H180" s="6" t="s">
        <v>411</v>
      </c>
    </row>
    <row r="181" s="1" customFormat="1" ht="16.8" spans="1:8">
      <c r="A181" s="5" t="s">
        <v>407</v>
      </c>
      <c r="B181" s="5" t="s">
        <v>943</v>
      </c>
      <c r="C181" s="5" t="s">
        <v>925</v>
      </c>
      <c r="D181" s="5" t="s">
        <v>944</v>
      </c>
      <c r="E181" s="5" t="s">
        <v>945</v>
      </c>
      <c r="F181" s="1" t="str">
        <f t="shared" si="2"/>
        <v>LEX2-172 Trade St.,KY40511- United States</v>
      </c>
      <c r="G181" s="6" t="s">
        <v>411</v>
      </c>
      <c r="H181" s="6" t="s">
        <v>411</v>
      </c>
    </row>
    <row r="182" s="1" customFormat="1" ht="16.8" spans="1:8">
      <c r="A182" s="5" t="s">
        <v>407</v>
      </c>
      <c r="B182" s="5" t="s">
        <v>946</v>
      </c>
      <c r="C182" s="5" t="s">
        <v>925</v>
      </c>
      <c r="D182" s="5" t="s">
        <v>947</v>
      </c>
      <c r="E182" s="5" t="s">
        <v>948</v>
      </c>
      <c r="F182" s="1" t="str">
        <f t="shared" si="2"/>
        <v>SDF4-376 Zappos.com Blvd,KY40165-8556- United States</v>
      </c>
      <c r="G182" s="6" t="s">
        <v>411</v>
      </c>
      <c r="H182" s="6" t="s">
        <v>411</v>
      </c>
    </row>
    <row r="183" s="1" customFormat="1" ht="16.8" spans="1:8">
      <c r="A183" s="5" t="s">
        <v>407</v>
      </c>
      <c r="B183" s="5" t="s">
        <v>949</v>
      </c>
      <c r="C183" s="5" t="s">
        <v>925</v>
      </c>
      <c r="D183" s="5" t="s">
        <v>950</v>
      </c>
      <c r="E183" s="5" t="s">
        <v>951</v>
      </c>
      <c r="F183" s="1" t="str">
        <f t="shared" si="2"/>
        <v>SDF6-271 Omega Pkwy,KY40165- United States</v>
      </c>
      <c r="G183" s="6" t="s">
        <v>411</v>
      </c>
      <c r="H183" s="6" t="s">
        <v>411</v>
      </c>
    </row>
    <row r="184" s="1" customFormat="1" ht="16.8" spans="1:8">
      <c r="A184" s="5" t="s">
        <v>407</v>
      </c>
      <c r="B184" s="5" t="s">
        <v>952</v>
      </c>
      <c r="C184" s="5" t="s">
        <v>925</v>
      </c>
      <c r="D184" s="5" t="s">
        <v>950</v>
      </c>
      <c r="E184" s="5" t="s">
        <v>953</v>
      </c>
      <c r="F184" s="1" t="str">
        <f t="shared" si="2"/>
        <v>SDF9-100 W. Thomas P. Echols Lane,KY40165- United States</v>
      </c>
      <c r="G184" s="6" t="s">
        <v>411</v>
      </c>
      <c r="H184" s="6" t="s">
        <v>411</v>
      </c>
    </row>
    <row r="185" s="1" customFormat="1" ht="16.8" spans="1:8">
      <c r="A185" s="5" t="s">
        <v>407</v>
      </c>
      <c r="B185" s="5" t="s">
        <v>954</v>
      </c>
      <c r="C185" s="5" t="s">
        <v>955</v>
      </c>
      <c r="D185" s="5" t="s">
        <v>956</v>
      </c>
      <c r="E185" s="5" t="s">
        <v>957</v>
      </c>
      <c r="F185" s="1" t="str">
        <f t="shared" si="2"/>
        <v>MEM6-11505 Progress Way 38654-2510 - OLIVE BRANCH,MS38654-2510- United States</v>
      </c>
      <c r="G185" s="6" t="s">
        <v>411</v>
      </c>
      <c r="H185" s="6" t="s">
        <v>411</v>
      </c>
    </row>
    <row r="186" s="1" customFormat="1" ht="16.8" spans="1:8">
      <c r="A186" s="5" t="s">
        <v>407</v>
      </c>
      <c r="B186" s="5" t="s">
        <v>958</v>
      </c>
      <c r="C186" s="5" t="s">
        <v>955</v>
      </c>
      <c r="D186" s="5" t="s">
        <v>959</v>
      </c>
      <c r="E186" s="5" t="s">
        <v>960</v>
      </c>
      <c r="F186" s="1" t="str">
        <f t="shared" si="2"/>
        <v>MEM2-191 NORFOLK SOUTHERN WAY 38611-2306 - BYHALIA,MS38611-2306- United States</v>
      </c>
      <c r="G186" s="6" t="s">
        <v>411</v>
      </c>
      <c r="H186" s="6" t="s">
        <v>411</v>
      </c>
    </row>
    <row r="187" s="1" customFormat="1" ht="16.8" spans="1:8">
      <c r="A187" s="5" t="s">
        <v>407</v>
      </c>
      <c r="B187" s="5" t="s">
        <v>961</v>
      </c>
      <c r="C187" s="5" t="s">
        <v>955</v>
      </c>
      <c r="D187" s="5" t="s">
        <v>962</v>
      </c>
      <c r="E187" s="5" t="s">
        <v>963</v>
      </c>
      <c r="F187" s="1" t="str">
        <f t="shared" si="2"/>
        <v>MEM8-850 Gateway Global Dr,MS38611- United States</v>
      </c>
      <c r="G187" s="6" t="s">
        <v>411</v>
      </c>
      <c r="H187" s="6" t="s">
        <v>411</v>
      </c>
    </row>
    <row r="188" s="1" customFormat="1" ht="16.8" spans="1:8">
      <c r="A188" s="5" t="s">
        <v>407</v>
      </c>
      <c r="B188" s="5" t="s">
        <v>964</v>
      </c>
      <c r="C188" s="5" t="s">
        <v>965</v>
      </c>
      <c r="D188" s="5" t="s">
        <v>966</v>
      </c>
      <c r="E188" s="5" t="s">
        <v>967</v>
      </c>
      <c r="F188" s="1" t="str">
        <f t="shared" si="2"/>
        <v>MEM1-3292 E Holmes Rd,TN38118-8102- United States</v>
      </c>
      <c r="G188" s="6" t="s">
        <v>411</v>
      </c>
      <c r="H188" s="6" t="s">
        <v>411</v>
      </c>
    </row>
    <row r="189" s="1" customFormat="1" ht="16.8" spans="1:8">
      <c r="A189" s="5" t="s">
        <v>407</v>
      </c>
      <c r="B189" s="5" t="s">
        <v>968</v>
      </c>
      <c r="C189" s="5" t="s">
        <v>965</v>
      </c>
      <c r="D189" s="5" t="s">
        <v>969</v>
      </c>
      <c r="E189" s="5" t="s">
        <v>970</v>
      </c>
      <c r="F189" s="1" t="str">
        <f t="shared" si="2"/>
        <v>TYS5-TYS5-210 Partnership Parkway37801-MARYVILLE,TN37801- United States</v>
      </c>
      <c r="G189" s="6" t="s">
        <v>411</v>
      </c>
      <c r="H189" s="6" t="s">
        <v>411</v>
      </c>
    </row>
    <row r="190" s="1" customFormat="1" ht="16.8" spans="1:8">
      <c r="A190" s="5" t="s">
        <v>407</v>
      </c>
      <c r="B190" s="5" t="s">
        <v>971</v>
      </c>
      <c r="C190" s="5" t="s">
        <v>965</v>
      </c>
      <c r="D190" s="5" t="s">
        <v>972</v>
      </c>
      <c r="E190" s="5" t="s">
        <v>973</v>
      </c>
      <c r="F190" s="1" t="str">
        <f t="shared" si="2"/>
        <v>CHA1-7200 Discovery Drive,TN37416-1757- United States</v>
      </c>
      <c r="G190" s="6" t="s">
        <v>411</v>
      </c>
      <c r="H190" s="6" t="s">
        <v>411</v>
      </c>
    </row>
    <row r="191" s="1" customFormat="1" ht="16.8" spans="1:8">
      <c r="A191" s="5" t="s">
        <v>407</v>
      </c>
      <c r="B191" s="5" t="s">
        <v>974</v>
      </c>
      <c r="C191" s="5" t="s">
        <v>965</v>
      </c>
      <c r="D191" s="5" t="s">
        <v>975</v>
      </c>
      <c r="E191" s="5" t="s">
        <v>976</v>
      </c>
      <c r="F191" s="1" t="str">
        <f t="shared" si="2"/>
        <v>CHA2-225 Infinity Dr NW,TN37310- United States</v>
      </c>
      <c r="G191" s="6" t="s">
        <v>411</v>
      </c>
      <c r="H191" s="6" t="s">
        <v>411</v>
      </c>
    </row>
    <row r="192" s="1" customFormat="1" ht="16.8" spans="1:8">
      <c r="A192" s="5" t="s">
        <v>407</v>
      </c>
      <c r="B192" s="5" t="s">
        <v>977</v>
      </c>
      <c r="C192" s="5" t="s">
        <v>965</v>
      </c>
      <c r="D192" s="5" t="s">
        <v>978</v>
      </c>
      <c r="E192" s="5" t="s">
        <v>979</v>
      </c>
      <c r="F192" s="1" t="str">
        <f t="shared" si="2"/>
        <v>BAN4-50 Airways Blvd Nashville,TN37217- United States</v>
      </c>
      <c r="G192" s="6" t="s">
        <v>411</v>
      </c>
      <c r="H192" s="6" t="s">
        <v>411</v>
      </c>
    </row>
    <row r="193" s="1" customFormat="1" ht="16.8" spans="1:8">
      <c r="A193" s="5" t="s">
        <v>407</v>
      </c>
      <c r="B193" s="5" t="s">
        <v>980</v>
      </c>
      <c r="C193" s="5" t="s">
        <v>965</v>
      </c>
      <c r="D193" s="5" t="s">
        <v>981</v>
      </c>
      <c r="E193" s="5" t="s">
        <v>982</v>
      </c>
      <c r="F193" s="1" t="str">
        <f t="shared" si="2"/>
        <v>BNA6-UPS备用-BNA6 via 3207 Whites Creek Pike Nashville,TN37207- United States</v>
      </c>
      <c r="G193" s="6" t="s">
        <v>411</v>
      </c>
      <c r="H193" s="6" t="s">
        <v>411</v>
      </c>
    </row>
    <row r="194" s="1" customFormat="1" ht="16.8" spans="1:8">
      <c r="A194" s="5" t="s">
        <v>407</v>
      </c>
      <c r="B194" s="5" t="s">
        <v>983</v>
      </c>
      <c r="C194" s="5" t="s">
        <v>965</v>
      </c>
      <c r="D194" s="5" t="s">
        <v>984</v>
      </c>
      <c r="E194" s="5" t="s">
        <v>985</v>
      </c>
      <c r="F194" s="1" t="str">
        <f t="shared" si="2"/>
        <v>BNA3-2020 Joe B Jackson Pkwy,TN37127- United States</v>
      </c>
      <c r="G194" s="6" t="s">
        <v>411</v>
      </c>
      <c r="H194" s="6" t="s">
        <v>411</v>
      </c>
    </row>
    <row r="195" s="1" customFormat="1" ht="16.8" spans="1:8">
      <c r="A195" s="5" t="s">
        <v>407</v>
      </c>
      <c r="B195" s="5" t="s">
        <v>986</v>
      </c>
      <c r="C195" s="5" t="s">
        <v>965</v>
      </c>
      <c r="D195" s="5" t="s">
        <v>987</v>
      </c>
      <c r="E195" s="5" t="s">
        <v>988</v>
      </c>
      <c r="F195" s="1" t="str">
        <f t="shared" ref="F195:F258" si="3">B195&amp;"-"&amp;E195&amp;","&amp;C195&amp;D195&amp;"- United States"</f>
        <v>BNA2-500 Duke Dr,TN37090- United States</v>
      </c>
      <c r="G195" s="6" t="s">
        <v>411</v>
      </c>
      <c r="H195" s="6" t="s">
        <v>411</v>
      </c>
    </row>
    <row r="196" s="1" customFormat="1" ht="16.8" spans="1:8">
      <c r="A196" s="5" t="s">
        <v>407</v>
      </c>
      <c r="B196" s="5" t="s">
        <v>989</v>
      </c>
      <c r="C196" s="5" t="s">
        <v>965</v>
      </c>
      <c r="D196" s="5" t="s">
        <v>987</v>
      </c>
      <c r="E196" s="5" t="s">
        <v>988</v>
      </c>
      <c r="F196" s="1" t="str">
        <f t="shared" si="3"/>
        <v>VINE-500 Duke Dr,TN37090- United States</v>
      </c>
      <c r="G196" s="6" t="s">
        <v>411</v>
      </c>
      <c r="H196" s="6" t="s">
        <v>411</v>
      </c>
    </row>
    <row r="197" s="1" customFormat="1" ht="16.8" spans="1:8">
      <c r="A197" s="5" t="s">
        <v>407</v>
      </c>
      <c r="B197" s="5" t="s">
        <v>990</v>
      </c>
      <c r="C197" s="5" t="s">
        <v>965</v>
      </c>
      <c r="D197" s="5" t="s">
        <v>991</v>
      </c>
      <c r="E197" s="5" t="s">
        <v>992</v>
      </c>
      <c r="F197" s="1" t="str">
        <f t="shared" si="3"/>
        <v>BNA6-3875 GUTHRIE HWY,TN37040-5502- United States</v>
      </c>
      <c r="G197" s="6" t="s">
        <v>411</v>
      </c>
      <c r="H197" s="6" t="s">
        <v>411</v>
      </c>
    </row>
    <row r="198" s="1" customFormat="1" ht="16.8" spans="1:8">
      <c r="A198" s="5" t="s">
        <v>407</v>
      </c>
      <c r="B198" s="5" t="s">
        <v>993</v>
      </c>
      <c r="C198" s="5" t="s">
        <v>50</v>
      </c>
      <c r="D198" s="5" t="s">
        <v>994</v>
      </c>
      <c r="E198" s="5" t="s">
        <v>995</v>
      </c>
      <c r="F198" s="1" t="str">
        <f t="shared" si="3"/>
        <v>HSV1-7817 Greenbrier Rd,35756- United States</v>
      </c>
      <c r="G198" s="6" t="s">
        <v>411</v>
      </c>
      <c r="H198" s="6" t="s">
        <v>411</v>
      </c>
    </row>
    <row r="199" s="1" customFormat="1" ht="16.8" spans="1:8">
      <c r="A199" s="5" t="s">
        <v>407</v>
      </c>
      <c r="B199" s="5" t="s">
        <v>996</v>
      </c>
      <c r="C199" s="5" t="s">
        <v>997</v>
      </c>
      <c r="D199" s="5" t="s">
        <v>994</v>
      </c>
      <c r="E199" s="5" t="s">
        <v>998</v>
      </c>
      <c r="F199" s="1" t="str">
        <f t="shared" si="3"/>
        <v>HSV2-28869 Fanning Dr NW,AL35756- United States</v>
      </c>
      <c r="G199" s="6" t="s">
        <v>411</v>
      </c>
      <c r="H199" s="6" t="s">
        <v>411</v>
      </c>
    </row>
    <row r="200" s="1" customFormat="1" ht="16.8" spans="1:8">
      <c r="A200" s="5" t="s">
        <v>407</v>
      </c>
      <c r="B200" s="5" t="s">
        <v>999</v>
      </c>
      <c r="C200" s="5" t="s">
        <v>1000</v>
      </c>
      <c r="D200" s="5" t="s">
        <v>1001</v>
      </c>
      <c r="E200" s="5" t="s">
        <v>1002</v>
      </c>
      <c r="F200" s="1" t="str">
        <f t="shared" si="3"/>
        <v>PBI3-7600 LTCParkway,FL34986- United States</v>
      </c>
      <c r="G200" s="6" t="s">
        <v>411</v>
      </c>
      <c r="H200" s="6" t="s">
        <v>411</v>
      </c>
    </row>
    <row r="201" s="1" customFormat="1" ht="16.8" spans="1:8">
      <c r="A201" s="5" t="s">
        <v>407</v>
      </c>
      <c r="B201" s="5" t="s">
        <v>1003</v>
      </c>
      <c r="C201" s="5" t="s">
        <v>1000</v>
      </c>
      <c r="D201" s="5" t="s">
        <v>1004</v>
      </c>
      <c r="E201" s="5" t="s">
        <v>1005</v>
      </c>
      <c r="F201" s="1" t="str">
        <f t="shared" si="3"/>
        <v>TPA6-3400 NW 35th Avenue Road OCALA ,FL34475-4625- United States</v>
      </c>
      <c r="G201" s="6" t="s">
        <v>411</v>
      </c>
      <c r="H201" s="6" t="s">
        <v>411</v>
      </c>
    </row>
    <row r="202" s="1" customFormat="1" ht="16.8" spans="1:8">
      <c r="A202" s="5" t="s">
        <v>407</v>
      </c>
      <c r="B202" s="5" t="s">
        <v>1006</v>
      </c>
      <c r="C202" s="5" t="s">
        <v>1000</v>
      </c>
      <c r="D202" s="5" t="s">
        <v>1007</v>
      </c>
      <c r="E202" s="5" t="s">
        <v>1008</v>
      </c>
      <c r="F202" s="1" t="str">
        <f t="shared" si="3"/>
        <v>TPA3-676 C Fred Jones Blvd 33823-9429 - Auburndale,FL33823-9429- United States</v>
      </c>
      <c r="G202" s="6" t="s">
        <v>411</v>
      </c>
      <c r="H202" s="6" t="s">
        <v>411</v>
      </c>
    </row>
    <row r="203" s="1" customFormat="1" ht="16.8" spans="1:8">
      <c r="A203" s="5" t="s">
        <v>407</v>
      </c>
      <c r="B203" s="5" t="s">
        <v>1009</v>
      </c>
      <c r="C203" s="5" t="s">
        <v>1000</v>
      </c>
      <c r="D203" s="5" t="s">
        <v>1010</v>
      </c>
      <c r="E203" s="5" t="s">
        <v>1011</v>
      </c>
      <c r="F203" s="1" t="str">
        <f t="shared" si="3"/>
        <v>TPA2-1760 County Line Rd,FL33811- United States</v>
      </c>
      <c r="G203" s="6" t="s">
        <v>411</v>
      </c>
      <c r="H203" s="6" t="s">
        <v>411</v>
      </c>
    </row>
    <row r="204" s="1" customFormat="1" ht="16.8" spans="1:8">
      <c r="A204" s="5" t="s">
        <v>407</v>
      </c>
      <c r="B204" s="5" t="s">
        <v>1012</v>
      </c>
      <c r="C204" s="5" t="s">
        <v>1000</v>
      </c>
      <c r="D204" s="5" t="s">
        <v>1013</v>
      </c>
      <c r="E204" s="5" t="s">
        <v>1014</v>
      </c>
      <c r="F204" s="1" t="str">
        <f t="shared" si="3"/>
        <v>TPA1-3350 Laurel Ridge Ave.,FL33570- United States</v>
      </c>
      <c r="G204" s="6" t="s">
        <v>411</v>
      </c>
      <c r="H204" s="6" t="s">
        <v>411</v>
      </c>
    </row>
    <row r="205" s="1" customFormat="1" ht="16.8" spans="1:8">
      <c r="A205" s="5" t="s">
        <v>407</v>
      </c>
      <c r="B205" s="5" t="s">
        <v>1015</v>
      </c>
      <c r="C205" s="5" t="s">
        <v>1000</v>
      </c>
      <c r="D205" s="5" t="s">
        <v>1016</v>
      </c>
      <c r="E205" s="5" t="s">
        <v>1017</v>
      </c>
      <c r="F205" s="1" t="str">
        <f t="shared" si="3"/>
        <v>PBI2-14490 Corporate Road N,FL33478-6456- United States</v>
      </c>
      <c r="G205" s="6" t="s">
        <v>411</v>
      </c>
      <c r="H205" s="6" t="s">
        <v>411</v>
      </c>
    </row>
    <row r="206" s="1" customFormat="1" ht="16.8" spans="1:8">
      <c r="A206" s="5" t="s">
        <v>407</v>
      </c>
      <c r="B206" s="5" t="s">
        <v>1018</v>
      </c>
      <c r="C206" s="5" t="s">
        <v>1000</v>
      </c>
      <c r="D206" s="5" t="s">
        <v>1019</v>
      </c>
      <c r="E206" s="5" t="s">
        <v>1020</v>
      </c>
      <c r="F206" s="1" t="str">
        <f t="shared" si="3"/>
        <v>TMB8备用-27505 SW 132nd AVE,FL33055- United States</v>
      </c>
      <c r="G206" s="6" t="s">
        <v>411</v>
      </c>
      <c r="H206" s="6" t="s">
        <v>411</v>
      </c>
    </row>
    <row r="207" s="1" customFormat="1" ht="16.8" spans="1:8">
      <c r="A207" s="5" t="s">
        <v>407</v>
      </c>
      <c r="B207" s="5" t="s">
        <v>1021</v>
      </c>
      <c r="C207" s="5" t="s">
        <v>1000</v>
      </c>
      <c r="D207" s="5" t="s">
        <v>1022</v>
      </c>
      <c r="E207" s="5" t="s">
        <v>1020</v>
      </c>
      <c r="F207" s="1" t="str">
        <f t="shared" si="3"/>
        <v>TMB8-27505 SW 132nd AVE,FL33032-8597- United States</v>
      </c>
      <c r="G207" s="6" t="s">
        <v>411</v>
      </c>
      <c r="H207" s="6" t="s">
        <v>411</v>
      </c>
    </row>
    <row r="208" s="1" customFormat="1" ht="16.8" spans="1:8">
      <c r="A208" s="5" t="s">
        <v>407</v>
      </c>
      <c r="B208" s="5" t="s">
        <v>1023</v>
      </c>
      <c r="C208" s="5" t="s">
        <v>1000</v>
      </c>
      <c r="D208" s="5" t="s">
        <v>1024</v>
      </c>
      <c r="E208" s="5" t="s">
        <v>1025</v>
      </c>
      <c r="F208" s="1" t="str">
        <f t="shared" si="3"/>
        <v>MLB1-3655 GRISSOM PKWY,FL32926- United States</v>
      </c>
      <c r="G208" s="6" t="s">
        <v>411</v>
      </c>
      <c r="H208" s="6" t="s">
        <v>411</v>
      </c>
    </row>
    <row r="209" s="1" customFormat="1" ht="16.8" spans="1:8">
      <c r="A209" s="5" t="s">
        <v>407</v>
      </c>
      <c r="B209" s="5" t="s">
        <v>1026</v>
      </c>
      <c r="C209" s="5" t="s">
        <v>1000</v>
      </c>
      <c r="D209" s="5" t="s">
        <v>1027</v>
      </c>
      <c r="E209" s="5" t="s">
        <v>1028</v>
      </c>
      <c r="F209" s="1" t="str">
        <f t="shared" si="3"/>
        <v>MCO1-12340 Boggy Creek Rd, Orlando,FL32824- United States</v>
      </c>
      <c r="G209" s="6" t="s">
        <v>411</v>
      </c>
      <c r="H209" s="6" t="s">
        <v>411</v>
      </c>
    </row>
    <row r="210" s="1" customFormat="1" ht="16.8" spans="1:8">
      <c r="A210" s="5" t="s">
        <v>407</v>
      </c>
      <c r="B210" s="5" t="s">
        <v>1029</v>
      </c>
      <c r="C210" s="5" t="s">
        <v>1000</v>
      </c>
      <c r="D210" s="5" t="s">
        <v>1030</v>
      </c>
      <c r="E210" s="5" t="s">
        <v>1031</v>
      </c>
      <c r="F210" s="1" t="str">
        <f t="shared" si="3"/>
        <v>MCO2-2600 N Normandy Blvd 32725-2610 - Deltona,FL32725-2610- United States</v>
      </c>
      <c r="G210" s="6" t="s">
        <v>411</v>
      </c>
      <c r="H210" s="6" t="s">
        <v>411</v>
      </c>
    </row>
    <row r="211" s="1" customFormat="1" ht="16.8" spans="1:8">
      <c r="A211" s="5" t="s">
        <v>407</v>
      </c>
      <c r="B211" s="5" t="s">
        <v>1032</v>
      </c>
      <c r="C211" s="5" t="s">
        <v>1000</v>
      </c>
      <c r="D211" s="5" t="s">
        <v>1033</v>
      </c>
      <c r="E211" s="5" t="s">
        <v>1034</v>
      </c>
      <c r="F211" s="1" t="str">
        <f t="shared" si="3"/>
        <v>XPB2-4661 Apopka Logistics Pkwy,FL32712- United States</v>
      </c>
      <c r="G211" s="6" t="s">
        <v>411</v>
      </c>
      <c r="H211" s="6" t="s">
        <v>411</v>
      </c>
    </row>
    <row r="212" s="1" customFormat="1" ht="16.8" spans="1:8">
      <c r="A212" s="5" t="s">
        <v>407</v>
      </c>
      <c r="B212" s="5" t="s">
        <v>1035</v>
      </c>
      <c r="C212" s="5" t="s">
        <v>1000</v>
      </c>
      <c r="D212" s="5" t="s">
        <v>1036</v>
      </c>
      <c r="E212" s="5" t="s">
        <v>1037</v>
      </c>
      <c r="F212" s="1" t="str">
        <f t="shared" si="3"/>
        <v>JAX2-12900 Pecan Park Road,FL32218-2432- United States</v>
      </c>
      <c r="G212" s="6" t="s">
        <v>411</v>
      </c>
      <c r="H212" s="6" t="s">
        <v>411</v>
      </c>
    </row>
    <row r="213" s="1" customFormat="1" ht="16.8" spans="1:8">
      <c r="A213" s="5" t="s">
        <v>407</v>
      </c>
      <c r="B213" s="5" t="s">
        <v>1038</v>
      </c>
      <c r="C213" s="5" t="s">
        <v>1000</v>
      </c>
      <c r="D213" s="5" t="s">
        <v>1039</v>
      </c>
      <c r="E213" s="5" t="s">
        <v>1040</v>
      </c>
      <c r="F213" s="1" t="str">
        <f t="shared" si="3"/>
        <v>JAX3-13333 103rd Street,FL32210- United States</v>
      </c>
      <c r="G213" s="6" t="s">
        <v>411</v>
      </c>
      <c r="H213" s="6" t="s">
        <v>411</v>
      </c>
    </row>
    <row r="214" s="1" customFormat="1" ht="16.8" spans="1:8">
      <c r="A214" s="5" t="s">
        <v>407</v>
      </c>
      <c r="B214" s="5" t="s">
        <v>1041</v>
      </c>
      <c r="C214" s="5" t="s">
        <v>1000</v>
      </c>
      <c r="D214" s="5" t="s">
        <v>1042</v>
      </c>
      <c r="E214" s="5" t="s">
        <v>1043</v>
      </c>
      <c r="F214" s="1" t="str">
        <f t="shared" si="3"/>
        <v>PBI3备用-7600 LTCPARKWAY，JACKSONVILLE,FL32206- United States</v>
      </c>
      <c r="G214" s="6" t="s">
        <v>411</v>
      </c>
      <c r="H214" s="6" t="s">
        <v>411</v>
      </c>
    </row>
    <row r="215" s="1" customFormat="1" ht="16.8" spans="1:8">
      <c r="A215" s="5" t="s">
        <v>407</v>
      </c>
      <c r="B215" s="5" t="s">
        <v>1044</v>
      </c>
      <c r="C215" s="5" t="s">
        <v>1045</v>
      </c>
      <c r="D215" s="5" t="s">
        <v>1046</v>
      </c>
      <c r="E215" s="5" t="s">
        <v>1047</v>
      </c>
      <c r="F215" s="1" t="str">
        <f t="shared" si="3"/>
        <v>XAV3-120 CrossgateDr 31407-PortWentworth,GA31407- United States</v>
      </c>
      <c r="G215" s="6" t="s">
        <v>411</v>
      </c>
      <c r="H215" s="6" t="s">
        <v>411</v>
      </c>
    </row>
    <row r="216" s="1" customFormat="1" ht="16.8" spans="1:8">
      <c r="A216" s="5" t="s">
        <v>407</v>
      </c>
      <c r="B216" s="5" t="s">
        <v>1048</v>
      </c>
      <c r="C216" s="5" t="s">
        <v>1045</v>
      </c>
      <c r="D216" s="5" t="s">
        <v>1049</v>
      </c>
      <c r="E216" s="5" t="s">
        <v>1050</v>
      </c>
      <c r="F216" s="1" t="str">
        <f t="shared" si="3"/>
        <v>SAV3-7001 Skipper Rd,,GA31216- United States</v>
      </c>
      <c r="G216" s="6" t="s">
        <v>411</v>
      </c>
      <c r="H216" s="6" t="s">
        <v>411</v>
      </c>
    </row>
    <row r="217" s="1" customFormat="1" ht="16.8" spans="1:8">
      <c r="A217" s="5" t="s">
        <v>407</v>
      </c>
      <c r="B217" s="5" t="s">
        <v>1051</v>
      </c>
      <c r="C217" s="5" t="s">
        <v>1045</v>
      </c>
      <c r="D217" s="5" t="s">
        <v>1052</v>
      </c>
      <c r="E217" s="5" t="s">
        <v>1053</v>
      </c>
      <c r="F217" s="1" t="str">
        <f t="shared" si="3"/>
        <v>MGE3-808 Hog Mountain Road,GA30549- United States</v>
      </c>
      <c r="G217" s="6" t="s">
        <v>411</v>
      </c>
      <c r="H217" s="6" t="s">
        <v>411</v>
      </c>
    </row>
    <row r="218" s="1" customFormat="1" ht="16.8" spans="1:8">
      <c r="A218" s="5" t="s">
        <v>407</v>
      </c>
      <c r="B218" s="5" t="s">
        <v>1054</v>
      </c>
      <c r="C218" s="5" t="s">
        <v>1045</v>
      </c>
      <c r="D218" s="5" t="s">
        <v>1055</v>
      </c>
      <c r="E218" s="5" t="s">
        <v>1056</v>
      </c>
      <c r="F218" s="1" t="str">
        <f t="shared" si="3"/>
        <v>MGE1-Services, Inc. 650 Broadway Avenue Braselton ,GA30517- United States</v>
      </c>
      <c r="G218" s="6" t="s">
        <v>411</v>
      </c>
      <c r="H218" s="6" t="s">
        <v>411</v>
      </c>
    </row>
    <row r="219" s="1" customFormat="1" ht="16.8" spans="1:8">
      <c r="A219" s="5" t="s">
        <v>407</v>
      </c>
      <c r="B219" s="5" t="s">
        <v>1057</v>
      </c>
      <c r="C219" s="5" t="s">
        <v>1045</v>
      </c>
      <c r="D219" s="5" t="s">
        <v>1058</v>
      </c>
      <c r="E219" s="5" t="s">
        <v>1059</v>
      </c>
      <c r="F219" s="1" t="str">
        <f t="shared" si="3"/>
        <v>ATL6-4200 North Commerce,GA30344-5707- United States</v>
      </c>
      <c r="G219" s="6" t="s">
        <v>411</v>
      </c>
      <c r="H219" s="6" t="s">
        <v>411</v>
      </c>
    </row>
    <row r="220" s="1" customFormat="1" ht="16.8" spans="1:8">
      <c r="A220" s="5" t="s">
        <v>407</v>
      </c>
      <c r="B220" s="5" t="s">
        <v>1060</v>
      </c>
      <c r="C220" s="5" t="s">
        <v>1045</v>
      </c>
      <c r="D220" s="5" t="s">
        <v>1061</v>
      </c>
      <c r="E220" s="5" t="s">
        <v>1062</v>
      </c>
      <c r="F220" s="1" t="str">
        <f t="shared" si="3"/>
        <v>RYY2-备用-RYY2 via 1250 Cassville White Road,GA30325- United States</v>
      </c>
      <c r="G220" s="6" t="s">
        <v>411</v>
      </c>
      <c r="H220" s="6" t="s">
        <v>411</v>
      </c>
    </row>
    <row r="221" s="1" customFormat="1" ht="16.8" spans="1:8">
      <c r="A221" s="5" t="s">
        <v>407</v>
      </c>
      <c r="B221" s="5" t="s">
        <v>1063</v>
      </c>
      <c r="C221" s="5" t="s">
        <v>1045</v>
      </c>
      <c r="D221" s="5" t="s">
        <v>1064</v>
      </c>
      <c r="E221" s="5" t="s">
        <v>1065</v>
      </c>
      <c r="F221" s="1" t="str">
        <f t="shared" si="3"/>
        <v>RYY2-1250 CassvilleWhite Road,GA30184- United States</v>
      </c>
      <c r="G221" s="6" t="s">
        <v>411</v>
      </c>
      <c r="H221" s="6" t="s">
        <v>411</v>
      </c>
    </row>
    <row r="222" s="1" customFormat="1" ht="16.8" spans="1:8">
      <c r="A222" s="5" t="s">
        <v>407</v>
      </c>
      <c r="B222" s="5" t="s">
        <v>1066</v>
      </c>
      <c r="C222" s="5" t="s">
        <v>1067</v>
      </c>
      <c r="D222" s="5" t="s">
        <v>1068</v>
      </c>
      <c r="E222" s="5" t="s">
        <v>1069</v>
      </c>
      <c r="F222" s="1" t="str">
        <f t="shared" si="3"/>
        <v>GSP1-402 John Dodd Rd,SC29303-6312- United States</v>
      </c>
      <c r="G222" s="6" t="s">
        <v>411</v>
      </c>
      <c r="H222" s="6" t="s">
        <v>411</v>
      </c>
    </row>
    <row r="223" s="1" customFormat="1" ht="16.8" spans="1:8">
      <c r="A223" s="5" t="s">
        <v>407</v>
      </c>
      <c r="B223" s="5" t="s">
        <v>1070</v>
      </c>
      <c r="C223" s="5" t="s">
        <v>1067</v>
      </c>
      <c r="D223" s="5" t="s">
        <v>1071</v>
      </c>
      <c r="E223" s="5" t="s">
        <v>1072</v>
      </c>
      <c r="F223" s="1" t="str">
        <f t="shared" si="3"/>
        <v>CAE1-4400 12 Street Extension,SC29172- United States</v>
      </c>
      <c r="G223" s="6" t="s">
        <v>411</v>
      </c>
      <c r="H223" s="6" t="s">
        <v>411</v>
      </c>
    </row>
    <row r="224" s="1" customFormat="1" ht="16.8" spans="1:8">
      <c r="A224" s="5" t="s">
        <v>407</v>
      </c>
      <c r="B224" s="5" t="s">
        <v>1073</v>
      </c>
      <c r="C224" s="5" t="s">
        <v>1074</v>
      </c>
      <c r="D224" s="5" t="s">
        <v>1075</v>
      </c>
      <c r="E224" s="5" t="s">
        <v>1076</v>
      </c>
      <c r="F224" s="1" t="str">
        <f t="shared" si="3"/>
        <v>RDU4-6309 Bragg Blvd,NC28303- United States</v>
      </c>
      <c r="G224" s="6" t="s">
        <v>411</v>
      </c>
      <c r="H224" s="6" t="s">
        <v>411</v>
      </c>
    </row>
    <row r="225" s="1" customFormat="1" ht="16.8" spans="1:8">
      <c r="A225" s="5" t="s">
        <v>407</v>
      </c>
      <c r="B225" s="5" t="s">
        <v>1077</v>
      </c>
      <c r="C225" s="5" t="s">
        <v>1074</v>
      </c>
      <c r="D225" s="5" t="s">
        <v>1078</v>
      </c>
      <c r="E225" s="5" t="s">
        <v>1079</v>
      </c>
      <c r="F225" s="1" t="str">
        <f t="shared" si="3"/>
        <v>CLT2-10240 Old Dowd Rd,NC28214- United States</v>
      </c>
      <c r="G225" s="6" t="s">
        <v>411</v>
      </c>
      <c r="H225" s="6" t="s">
        <v>411</v>
      </c>
    </row>
    <row r="226" s="1" customFormat="1" ht="16.8" spans="1:8">
      <c r="A226" s="5" t="s">
        <v>407</v>
      </c>
      <c r="B226" s="5" t="s">
        <v>1080</v>
      </c>
      <c r="C226" s="5" t="s">
        <v>1074</v>
      </c>
      <c r="D226" s="5" t="s">
        <v>1081</v>
      </c>
      <c r="E226" s="5" t="s">
        <v>1082</v>
      </c>
      <c r="F226" s="1" t="str">
        <f t="shared" si="3"/>
        <v>CLT6-12220 Carolina Logistics Drive 28134-9457 - PINEVILLE,NC28134-9457- United States</v>
      </c>
      <c r="G226" s="6" t="s">
        <v>411</v>
      </c>
      <c r="H226" s="6" t="s">
        <v>411</v>
      </c>
    </row>
    <row r="227" s="1" customFormat="1" ht="16.8" spans="1:8">
      <c r="A227" s="5" t="s">
        <v>407</v>
      </c>
      <c r="B227" s="5" t="s">
        <v>1083</v>
      </c>
      <c r="C227" s="5" t="s">
        <v>1074</v>
      </c>
      <c r="D227" s="5" t="s">
        <v>1084</v>
      </c>
      <c r="E227" s="5" t="s">
        <v>1085</v>
      </c>
      <c r="F227" s="1" t="str">
        <f t="shared" si="3"/>
        <v>XLX6-XLX6,12220 Carolina Logistics Drive,PINEVILLE ,NC28134- United States</v>
      </c>
      <c r="G227" s="6" t="s">
        <v>411</v>
      </c>
      <c r="H227" s="6" t="s">
        <v>411</v>
      </c>
    </row>
    <row r="228" s="1" customFormat="1" ht="16.8" spans="1:8">
      <c r="A228" s="5" t="s">
        <v>407</v>
      </c>
      <c r="B228" s="5" t="s">
        <v>1086</v>
      </c>
      <c r="C228" s="5" t="s">
        <v>1074</v>
      </c>
      <c r="D228" s="5" t="s">
        <v>1087</v>
      </c>
      <c r="E228" s="5" t="s">
        <v>1088</v>
      </c>
      <c r="F228" s="1" t="str">
        <f t="shared" si="3"/>
        <v>CLT3-6500 Davidson Hwy,NC28027-7995- United States</v>
      </c>
      <c r="G228" s="6" t="s">
        <v>411</v>
      </c>
      <c r="H228" s="6" t="s">
        <v>411</v>
      </c>
    </row>
    <row r="229" s="1" customFormat="1" ht="16.8" spans="1:8">
      <c r="A229" s="5" t="s">
        <v>407</v>
      </c>
      <c r="B229" s="5" t="s">
        <v>1089</v>
      </c>
      <c r="C229" s="5" t="s">
        <v>1074</v>
      </c>
      <c r="D229" s="5" t="s">
        <v>1090</v>
      </c>
      <c r="E229" s="5" t="s">
        <v>1091</v>
      </c>
      <c r="F229" s="1" t="str">
        <f t="shared" si="3"/>
        <v>RDU2-2150 US HWY 70 Business West 27577 - SMITHFIELD ,NC27577- United States</v>
      </c>
      <c r="G229" s="6" t="s">
        <v>411</v>
      </c>
      <c r="H229" s="6" t="s">
        <v>411</v>
      </c>
    </row>
    <row r="230" s="1" customFormat="1" ht="16.8" spans="1:8">
      <c r="A230" s="5" t="s">
        <v>407</v>
      </c>
      <c r="B230" s="5" t="s">
        <v>1092</v>
      </c>
      <c r="C230" s="5" t="s">
        <v>1074</v>
      </c>
      <c r="D230" s="5" t="s">
        <v>1093</v>
      </c>
      <c r="E230" s="5" t="s">
        <v>1094</v>
      </c>
      <c r="F230" s="1" t="str">
        <f t="shared" si="3"/>
        <v>RDU1-Ship to RDU1 4851 Jones Sausage Rd,NC27529-9438- United States</v>
      </c>
      <c r="G230" s="6" t="s">
        <v>411</v>
      </c>
      <c r="H230" s="6" t="s">
        <v>411</v>
      </c>
    </row>
    <row r="231" s="1" customFormat="1" ht="16.8" spans="1:8">
      <c r="A231" s="5" t="s">
        <v>407</v>
      </c>
      <c r="B231" s="5" t="s">
        <v>1095</v>
      </c>
      <c r="C231" s="5" t="s">
        <v>1074</v>
      </c>
      <c r="D231" s="5" t="s">
        <v>1096</v>
      </c>
      <c r="E231" s="5" t="s">
        <v>1097</v>
      </c>
      <c r="F231" s="1" t="str">
        <f t="shared" si="3"/>
        <v>GSO1-1656 OLD GREENSBORO RD,NC27284-6855- United States</v>
      </c>
      <c r="G231" s="6" t="s">
        <v>411</v>
      </c>
      <c r="H231" s="6" t="s">
        <v>411</v>
      </c>
    </row>
    <row r="232" s="1" customFormat="1" ht="16.8" spans="1:8">
      <c r="A232" s="5" t="s">
        <v>407</v>
      </c>
      <c r="B232" s="5" t="s">
        <v>1098</v>
      </c>
      <c r="C232" s="5" t="s">
        <v>1099</v>
      </c>
      <c r="D232" s="5" t="s">
        <v>1100</v>
      </c>
      <c r="E232" s="5" t="s">
        <v>911</v>
      </c>
      <c r="F232" s="1" t="str">
        <f t="shared" si="3"/>
        <v>KRB2-1155 Babbitt Road,VA23875- United States</v>
      </c>
      <c r="G232" s="6" t="s">
        <v>411</v>
      </c>
      <c r="H232" s="6" t="s">
        <v>411</v>
      </c>
    </row>
    <row r="233" s="1" customFormat="1" ht="16.8" spans="1:8">
      <c r="A233" s="5" t="s">
        <v>407</v>
      </c>
      <c r="B233" s="5" t="s">
        <v>1101</v>
      </c>
      <c r="C233" s="5" t="s">
        <v>1099</v>
      </c>
      <c r="D233" s="5" t="s">
        <v>1102</v>
      </c>
      <c r="E233" s="5" t="s">
        <v>1103</v>
      </c>
      <c r="F233" s="1" t="str">
        <f t="shared" si="3"/>
        <v>RIC2-1901 Meadowville Technology Pkwy,VA23836- United States</v>
      </c>
      <c r="G233" s="6" t="s">
        <v>411</v>
      </c>
      <c r="H233" s="6" t="s">
        <v>411</v>
      </c>
    </row>
    <row r="234" s="1" customFormat="1" ht="16.8" spans="1:8">
      <c r="A234" s="5" t="s">
        <v>407</v>
      </c>
      <c r="B234" s="5" t="s">
        <v>1104</v>
      </c>
      <c r="C234" s="5" t="s">
        <v>1099</v>
      </c>
      <c r="D234" s="5" t="s">
        <v>1105</v>
      </c>
      <c r="E234" s="5" t="s">
        <v>1106</v>
      </c>
      <c r="F234" s="1" t="str">
        <f t="shared" si="3"/>
        <v>RIC1-5000 Commerce Way,VA23803- United States</v>
      </c>
      <c r="G234" s="6" t="s">
        <v>411</v>
      </c>
      <c r="H234" s="6" t="s">
        <v>411</v>
      </c>
    </row>
    <row r="235" s="1" customFormat="1" ht="16.8" spans="1:8">
      <c r="A235" s="5" t="s">
        <v>407</v>
      </c>
      <c r="B235" s="5" t="s">
        <v>1107</v>
      </c>
      <c r="C235" s="5" t="s">
        <v>1099</v>
      </c>
      <c r="D235" s="5" t="s">
        <v>1108</v>
      </c>
      <c r="E235" s="5" t="s">
        <v>1109</v>
      </c>
      <c r="F235" s="1" t="str">
        <f t="shared" si="3"/>
        <v>ORF1-3516 South Military Hwy,VA23323- United States</v>
      </c>
      <c r="G235" s="6" t="s">
        <v>411</v>
      </c>
      <c r="H235" s="6" t="s">
        <v>411</v>
      </c>
    </row>
    <row r="236" s="1" customFormat="1" ht="16.8" spans="1:8">
      <c r="A236" s="5" t="s">
        <v>407</v>
      </c>
      <c r="B236" s="5" t="s">
        <v>1110</v>
      </c>
      <c r="C236" s="5" t="s">
        <v>1099</v>
      </c>
      <c r="D236" s="5" t="s">
        <v>1111</v>
      </c>
      <c r="E236" s="5" t="s">
        <v>1112</v>
      </c>
      <c r="F236" s="1" t="str">
        <f t="shared" si="3"/>
        <v>ORF2-5045 PORTSMOUTH BLVD CHESAPEAKE,VA23321- United States</v>
      </c>
      <c r="G236" s="6" t="s">
        <v>411</v>
      </c>
      <c r="H236" s="6" t="s">
        <v>411</v>
      </c>
    </row>
    <row r="237" s="1" customFormat="1" ht="16.8" spans="1:8">
      <c r="A237" s="5" t="s">
        <v>407</v>
      </c>
      <c r="B237" s="5" t="s">
        <v>1113</v>
      </c>
      <c r="C237" s="5" t="s">
        <v>1099</v>
      </c>
      <c r="D237" s="5" t="s">
        <v>1114</v>
      </c>
      <c r="E237" s="5" t="s">
        <v>1115</v>
      </c>
      <c r="F237" s="1" t="str">
        <f t="shared" si="3"/>
        <v>RIC3-23234-2207-4949 Commerce Rd 23234-2207 - RICHMOND ,VA23234-2207- United States</v>
      </c>
      <c r="G237" s="6" t="s">
        <v>411</v>
      </c>
      <c r="H237" s="6" t="s">
        <v>411</v>
      </c>
    </row>
    <row r="238" s="1" customFormat="1" ht="16.8" spans="1:8">
      <c r="A238" s="5" t="s">
        <v>407</v>
      </c>
      <c r="B238" s="5" t="s">
        <v>1116</v>
      </c>
      <c r="C238" s="5" t="s">
        <v>1099</v>
      </c>
      <c r="D238" s="5" t="s">
        <v>1117</v>
      </c>
      <c r="E238" s="5" t="s">
        <v>1118</v>
      </c>
      <c r="F238" s="1" t="str">
        <f t="shared" si="3"/>
        <v>XRI3-4949 Commerce Rd,VA23234- United States</v>
      </c>
      <c r="G238" s="6" t="s">
        <v>411</v>
      </c>
      <c r="H238" s="6" t="s">
        <v>411</v>
      </c>
    </row>
    <row r="239" s="1" customFormat="1" ht="16.8" spans="1:8">
      <c r="A239" s="5" t="s">
        <v>407</v>
      </c>
      <c r="B239" s="5" t="s">
        <v>1119</v>
      </c>
      <c r="C239" s="5" t="s">
        <v>1099</v>
      </c>
      <c r="D239" s="5" t="s">
        <v>1120</v>
      </c>
      <c r="E239" s="5" t="s">
        <v>1121</v>
      </c>
      <c r="F239" s="1" t="str">
        <f t="shared" si="3"/>
        <v>CHO1-32 TRADER RD FISHERSVILLE,VA22939- United States</v>
      </c>
      <c r="G239" s="6" t="s">
        <v>411</v>
      </c>
      <c r="H239" s="6" t="s">
        <v>411</v>
      </c>
    </row>
    <row r="240" s="1" customFormat="1" ht="16.8" spans="1:8">
      <c r="A240" s="5" t="s">
        <v>407</v>
      </c>
      <c r="B240" s="5" t="s">
        <v>1122</v>
      </c>
      <c r="C240" s="5" t="s">
        <v>1099</v>
      </c>
      <c r="D240" s="5" t="s">
        <v>1123</v>
      </c>
      <c r="E240" s="5" t="s">
        <v>1124</v>
      </c>
      <c r="F240" s="1" t="str">
        <f t="shared" si="3"/>
        <v>BWI4-165 Business Blvd,VA22624-1568- United States</v>
      </c>
      <c r="G240" s="6" t="s">
        <v>411</v>
      </c>
      <c r="H240" s="6" t="s">
        <v>411</v>
      </c>
    </row>
    <row r="241" s="1" customFormat="1" ht="16.8" spans="1:8">
      <c r="A241" s="5" t="s">
        <v>407</v>
      </c>
      <c r="B241" s="5" t="s">
        <v>1125</v>
      </c>
      <c r="C241" s="5" t="s">
        <v>1099</v>
      </c>
      <c r="D241" s="5" t="s">
        <v>1126</v>
      </c>
      <c r="E241" s="5" t="s">
        <v>1127</v>
      </c>
      <c r="F241" s="1" t="str">
        <f t="shared" si="3"/>
        <v>RMN3-RMN3 - 220 Centreport Parkway 22406 - FREDERICKSBURG,VA22406- United States</v>
      </c>
      <c r="G241" s="6" t="s">
        <v>411</v>
      </c>
      <c r="H241" s="6" t="s">
        <v>411</v>
      </c>
    </row>
    <row r="242" s="1" customFormat="1" ht="16.8" spans="1:8">
      <c r="A242" s="5" t="s">
        <v>407</v>
      </c>
      <c r="B242" s="5" t="s">
        <v>1128</v>
      </c>
      <c r="C242" s="5" t="s">
        <v>1129</v>
      </c>
      <c r="D242" s="5" t="s">
        <v>1130</v>
      </c>
      <c r="E242" s="5" t="s">
        <v>1131</v>
      </c>
      <c r="F242" s="1" t="str">
        <f t="shared" si="3"/>
        <v>MDT2-600 Principio Parkway West,MD21901- United States</v>
      </c>
      <c r="G242" s="6" t="s">
        <v>411</v>
      </c>
      <c r="H242" s="6" t="s">
        <v>411</v>
      </c>
    </row>
    <row r="243" s="1" customFormat="1" ht="16.8" spans="1:8">
      <c r="A243" s="5" t="s">
        <v>407</v>
      </c>
      <c r="B243" s="5" t="s">
        <v>1132</v>
      </c>
      <c r="C243" s="5" t="s">
        <v>50</v>
      </c>
      <c r="D243" s="5" t="s">
        <v>1133</v>
      </c>
      <c r="E243" s="5" t="s">
        <v>1134</v>
      </c>
      <c r="F243" s="1" t="str">
        <f t="shared" si="3"/>
        <v>XLX1-1115 Wesel Blvd,21740-8126- United States</v>
      </c>
      <c r="G243" s="6" t="s">
        <v>411</v>
      </c>
      <c r="H243" s="6" t="s">
        <v>411</v>
      </c>
    </row>
    <row r="244" s="1" customFormat="1" ht="16.8" spans="1:8">
      <c r="A244" s="5" t="s">
        <v>407</v>
      </c>
      <c r="B244" s="5" t="s">
        <v>1135</v>
      </c>
      <c r="C244" s="5" t="s">
        <v>1129</v>
      </c>
      <c r="D244" s="5" t="s">
        <v>1133</v>
      </c>
      <c r="E244" s="5" t="s">
        <v>1136</v>
      </c>
      <c r="F244" s="1" t="str">
        <f t="shared" si="3"/>
        <v>HGR2-1115 WESEL BLVD,MD21740-8126- United States</v>
      </c>
      <c r="G244" s="6" t="s">
        <v>411</v>
      </c>
      <c r="H244" s="6" t="s">
        <v>411</v>
      </c>
    </row>
    <row r="245" s="1" customFormat="1" ht="16.8" spans="1:8">
      <c r="A245" s="5" t="s">
        <v>407</v>
      </c>
      <c r="B245" s="5" t="s">
        <v>1137</v>
      </c>
      <c r="C245" s="5" t="s">
        <v>1129</v>
      </c>
      <c r="D245" s="5" t="s">
        <v>1138</v>
      </c>
      <c r="E245" s="5" t="s">
        <v>1139</v>
      </c>
      <c r="F245" s="1" t="str">
        <f t="shared" si="3"/>
        <v>HGR6-55 West Oak Ridge Drive,MD21740- United States</v>
      </c>
      <c r="G245" s="6" t="s">
        <v>411</v>
      </c>
      <c r="H245" s="6" t="s">
        <v>411</v>
      </c>
    </row>
    <row r="246" s="1" customFormat="1" ht="16.8" spans="1:8">
      <c r="A246" s="5" t="s">
        <v>407</v>
      </c>
      <c r="B246" s="5" t="s">
        <v>1140</v>
      </c>
      <c r="C246" s="5" t="s">
        <v>1129</v>
      </c>
      <c r="D246" s="5" t="s">
        <v>1141</v>
      </c>
      <c r="E246" s="5" t="s">
        <v>1142</v>
      </c>
      <c r="F246" s="1" t="str">
        <f t="shared" si="3"/>
        <v>BWI2-2010 Broening Hwy,MD21224- United States</v>
      </c>
      <c r="G246" s="6" t="s">
        <v>411</v>
      </c>
      <c r="H246" s="6" t="s">
        <v>411</v>
      </c>
    </row>
    <row r="247" s="1" customFormat="1" ht="16.8" spans="1:8">
      <c r="A247" s="5" t="s">
        <v>407</v>
      </c>
      <c r="B247" s="5" t="s">
        <v>1143</v>
      </c>
      <c r="C247" s="5" t="s">
        <v>1129</v>
      </c>
      <c r="D247" s="5" t="s">
        <v>1144</v>
      </c>
      <c r="E247" s="5" t="s">
        <v>1145</v>
      </c>
      <c r="F247" s="1" t="str">
        <f t="shared" si="3"/>
        <v>DCA6-6001 BETHLEHEM BLVD,MD21219-1041- United States</v>
      </c>
      <c r="G247" s="6" t="s">
        <v>411</v>
      </c>
      <c r="H247" s="6" t="s">
        <v>411</v>
      </c>
    </row>
    <row r="248" s="1" customFormat="1" ht="16.8" spans="1:8">
      <c r="A248" s="5" t="s">
        <v>407</v>
      </c>
      <c r="B248" s="5" t="s">
        <v>1146</v>
      </c>
      <c r="C248" s="5" t="s">
        <v>1099</v>
      </c>
      <c r="D248" s="5" t="s">
        <v>1147</v>
      </c>
      <c r="E248" s="5" t="s">
        <v>1148</v>
      </c>
      <c r="F248" s="1" t="str">
        <f t="shared" si="3"/>
        <v>BWI1-45121 Global Plaza,VA20166-2058- United States</v>
      </c>
      <c r="G248" s="6" t="s">
        <v>411</v>
      </c>
      <c r="H248" s="6" t="s">
        <v>411</v>
      </c>
    </row>
    <row r="249" s="1" customFormat="1" ht="16.8" spans="1:8">
      <c r="A249" s="5" t="s">
        <v>407</v>
      </c>
      <c r="B249" s="5" t="s">
        <v>1149</v>
      </c>
      <c r="C249" s="5" t="s">
        <v>1150</v>
      </c>
      <c r="D249" s="5" t="s">
        <v>1151</v>
      </c>
      <c r="E249" s="5" t="s">
        <v>1152</v>
      </c>
      <c r="F249" s="1" t="str">
        <f t="shared" si="3"/>
        <v>PHL1-1 Centerpoint Blvd,DE19720- United States</v>
      </c>
      <c r="G249" s="6" t="s">
        <v>411</v>
      </c>
      <c r="H249" s="6" t="s">
        <v>411</v>
      </c>
    </row>
    <row r="250" s="1" customFormat="1" ht="16.8" spans="1:8">
      <c r="A250" s="5" t="s">
        <v>407</v>
      </c>
      <c r="B250" s="5" t="s">
        <v>1153</v>
      </c>
      <c r="C250" s="5" t="s">
        <v>1150</v>
      </c>
      <c r="D250" s="5" t="s">
        <v>1151</v>
      </c>
      <c r="E250" s="5" t="s">
        <v>1154</v>
      </c>
      <c r="F250" s="1" t="str">
        <f t="shared" si="3"/>
        <v>ILG1-780 S. DuPont HighwayNEW CASTLE,DE19720- United States</v>
      </c>
      <c r="G250" s="6" t="s">
        <v>411</v>
      </c>
      <c r="H250" s="6" t="s">
        <v>411</v>
      </c>
    </row>
    <row r="251" s="1" customFormat="1" ht="16.8" spans="1:8">
      <c r="A251" s="5" t="s">
        <v>407</v>
      </c>
      <c r="B251" s="5" t="s">
        <v>1155</v>
      </c>
      <c r="C251" s="5" t="s">
        <v>1150</v>
      </c>
      <c r="D251" s="5" t="s">
        <v>1156</v>
      </c>
      <c r="E251" s="5" t="s">
        <v>1157</v>
      </c>
      <c r="F251" s="1" t="str">
        <f t="shared" si="3"/>
        <v>PHL7-560 Merrimac Ave,DE19709-4652- United States</v>
      </c>
      <c r="G251" s="6" t="s">
        <v>411</v>
      </c>
      <c r="H251" s="6" t="s">
        <v>411</v>
      </c>
    </row>
    <row r="252" s="1" customFormat="1" ht="16.8" spans="1:8">
      <c r="A252" s="5" t="s">
        <v>407</v>
      </c>
      <c r="B252" s="5" t="s">
        <v>1158</v>
      </c>
      <c r="C252" s="5" t="s">
        <v>1159</v>
      </c>
      <c r="D252" s="5" t="s">
        <v>1160</v>
      </c>
      <c r="E252" s="5" t="s">
        <v>1161</v>
      </c>
      <c r="F252" s="1" t="str">
        <f t="shared" si="3"/>
        <v>WBW2-1300 Corporate Way,PA18447- United States</v>
      </c>
      <c r="G252" s="6" t="s">
        <v>411</v>
      </c>
      <c r="H252" s="6" t="s">
        <v>411</v>
      </c>
    </row>
    <row r="253" s="1" customFormat="1" ht="16.8" spans="1:8">
      <c r="A253" s="5" t="s">
        <v>407</v>
      </c>
      <c r="B253" s="5" t="s">
        <v>1162</v>
      </c>
      <c r="C253" s="5" t="s">
        <v>1159</v>
      </c>
      <c r="D253" s="5" t="s">
        <v>1163</v>
      </c>
      <c r="E253" s="5" t="s">
        <v>1164</v>
      </c>
      <c r="F253" s="1" t="str">
        <f t="shared" si="3"/>
        <v>AVP9-45 VALLEY VIEW DR,PA18434-1153- United States</v>
      </c>
      <c r="G253" s="6" t="s">
        <v>411</v>
      </c>
      <c r="H253" s="6" t="s">
        <v>411</v>
      </c>
    </row>
    <row r="254" s="1" customFormat="1" ht="16.8" spans="1:8">
      <c r="A254" s="5" t="s">
        <v>407</v>
      </c>
      <c r="B254" s="5" t="s">
        <v>1165</v>
      </c>
      <c r="C254" s="5" t="s">
        <v>1159</v>
      </c>
      <c r="D254" s="5" t="s">
        <v>1166</v>
      </c>
      <c r="E254" s="5" t="s">
        <v>1161</v>
      </c>
      <c r="F254" s="1" t="str">
        <f t="shared" si="3"/>
        <v>WBW2-UPS-1300 Corporate Way,PA18348- United States</v>
      </c>
      <c r="G254" s="6" t="s">
        <v>411</v>
      </c>
      <c r="H254" s="6" t="s">
        <v>411</v>
      </c>
    </row>
    <row r="255" s="1" customFormat="1" ht="16.8" spans="1:8">
      <c r="A255" s="5" t="s">
        <v>407</v>
      </c>
      <c r="B255" s="5" t="s">
        <v>1167</v>
      </c>
      <c r="C255" s="5" t="s">
        <v>1159</v>
      </c>
      <c r="D255" s="5" t="s">
        <v>1168</v>
      </c>
      <c r="E255" s="5" t="s">
        <v>1169</v>
      </c>
      <c r="F255" s="1" t="str">
        <f t="shared" si="3"/>
        <v>AVP1-550 Oak Ridge Road,PA18202-9361- United States</v>
      </c>
      <c r="G255" s="6" t="s">
        <v>411</v>
      </c>
      <c r="H255" s="6" t="s">
        <v>411</v>
      </c>
    </row>
    <row r="256" s="1" customFormat="1" ht="16.8" spans="1:8">
      <c r="A256" s="5" t="s">
        <v>407</v>
      </c>
      <c r="B256" s="5" t="s">
        <v>1170</v>
      </c>
      <c r="C256" s="5" t="s">
        <v>1159</v>
      </c>
      <c r="D256" s="5" t="s">
        <v>1171</v>
      </c>
      <c r="E256" s="5" t="s">
        <v>1172</v>
      </c>
      <c r="F256" s="1" t="str">
        <f t="shared" si="3"/>
        <v>HEA2-UPS-650 BOULDER DR,PA18105- United States</v>
      </c>
      <c r="G256" s="6" t="s">
        <v>411</v>
      </c>
      <c r="H256" s="6" t="s">
        <v>411</v>
      </c>
    </row>
    <row r="257" s="1" customFormat="1" ht="16.8" spans="1:8">
      <c r="A257" s="5" t="s">
        <v>407</v>
      </c>
      <c r="B257" s="5" t="s">
        <v>1173</v>
      </c>
      <c r="C257" s="5" t="s">
        <v>1159</v>
      </c>
      <c r="D257" s="5" t="s">
        <v>1174</v>
      </c>
      <c r="E257" s="5" t="s">
        <v>1175</v>
      </c>
      <c r="F257" s="1" t="str">
        <f t="shared" si="3"/>
        <v>ABE4-1610 Van Buren Road,,PA18045-7807- United States</v>
      </c>
      <c r="G257" s="6" t="s">
        <v>411</v>
      </c>
      <c r="H257" s="6" t="s">
        <v>411</v>
      </c>
    </row>
    <row r="258" s="1" customFormat="1" ht="16.8" spans="1:8">
      <c r="A258" s="5" t="s">
        <v>407</v>
      </c>
      <c r="B258" s="5" t="s">
        <v>1176</v>
      </c>
      <c r="C258" s="5" t="s">
        <v>1159</v>
      </c>
      <c r="D258" s="5" t="s">
        <v>1177</v>
      </c>
      <c r="E258" s="5" t="s">
        <v>1178</v>
      </c>
      <c r="F258" s="1" t="str">
        <f t="shared" si="3"/>
        <v>ABE2-705 Boulder Drive,PA18031- United States</v>
      </c>
      <c r="G258" s="6" t="s">
        <v>411</v>
      </c>
      <c r="H258" s="6" t="s">
        <v>411</v>
      </c>
    </row>
    <row r="259" s="1" customFormat="1" ht="16.8" spans="1:8">
      <c r="A259" s="5" t="s">
        <v>407</v>
      </c>
      <c r="B259" s="5" t="s">
        <v>1179</v>
      </c>
      <c r="C259" s="5" t="s">
        <v>1159</v>
      </c>
      <c r="D259" s="5" t="s">
        <v>1177</v>
      </c>
      <c r="E259" s="5" t="s">
        <v>1180</v>
      </c>
      <c r="F259" s="1" t="str">
        <f t="shared" ref="F259:F289" si="4">B259&amp;"-"&amp;E259&amp;","&amp;C259&amp;D259&amp;"- United States"</f>
        <v>ABE3-650 Boulder Drive,PA18031- United States</v>
      </c>
      <c r="G259" s="6" t="s">
        <v>411</v>
      </c>
      <c r="H259" s="6" t="s">
        <v>411</v>
      </c>
    </row>
    <row r="260" s="1" customFormat="1" ht="16.8" spans="1:8">
      <c r="A260" s="5" t="s">
        <v>407</v>
      </c>
      <c r="B260" s="5" t="s">
        <v>1181</v>
      </c>
      <c r="C260" s="5" t="s">
        <v>1159</v>
      </c>
      <c r="D260" s="5" t="s">
        <v>1177</v>
      </c>
      <c r="E260" s="5" t="s">
        <v>1172</v>
      </c>
      <c r="F260" s="1" t="str">
        <f t="shared" si="4"/>
        <v>HEA2-650 BOULDER DR,PA18031- United States</v>
      </c>
      <c r="G260" s="6" t="s">
        <v>411</v>
      </c>
      <c r="H260" s="6" t="s">
        <v>411</v>
      </c>
    </row>
    <row r="261" s="1" customFormat="1" ht="16.8" spans="1:8">
      <c r="A261" s="5" t="s">
        <v>407</v>
      </c>
      <c r="B261" s="5" t="s">
        <v>1182</v>
      </c>
      <c r="C261" s="5" t="s">
        <v>1159</v>
      </c>
      <c r="D261" s="5" t="s">
        <v>1183</v>
      </c>
      <c r="E261" s="5" t="s">
        <v>1184</v>
      </c>
      <c r="F261" s="1" t="str">
        <f t="shared" si="4"/>
        <v>MDT4-5125 Commerce DriveYORK ,PA17408- United States</v>
      </c>
      <c r="G261" s="6" t="s">
        <v>411</v>
      </c>
      <c r="H261" s="6" t="s">
        <v>411</v>
      </c>
    </row>
    <row r="262" s="1" customFormat="1" ht="16.8" spans="1:8">
      <c r="A262" s="5" t="s">
        <v>407</v>
      </c>
      <c r="B262" s="5" t="s">
        <v>1185</v>
      </c>
      <c r="C262" s="5" t="s">
        <v>1159</v>
      </c>
      <c r="D262" s="5" t="s">
        <v>1186</v>
      </c>
      <c r="E262" s="5" t="s">
        <v>1187</v>
      </c>
      <c r="F262" s="1" t="str">
        <f t="shared" si="4"/>
        <v>PHL5-500 McCarthy Dr.,PA17339- United States</v>
      </c>
      <c r="G262" s="6" t="s">
        <v>411</v>
      </c>
      <c r="H262" s="6" t="s">
        <v>411</v>
      </c>
    </row>
    <row r="263" s="1" customFormat="1" ht="16.8" spans="1:8">
      <c r="A263" s="5" t="s">
        <v>407</v>
      </c>
      <c r="B263" s="5" t="s">
        <v>1188</v>
      </c>
      <c r="C263" s="5" t="s">
        <v>1159</v>
      </c>
      <c r="D263" s="5" t="s">
        <v>1189</v>
      </c>
      <c r="E263" s="5" t="s">
        <v>1190</v>
      </c>
      <c r="F263" s="1" t="str">
        <f t="shared" si="4"/>
        <v>RMN3-UPS备用-2112 N Union Street,PA17057- United States</v>
      </c>
      <c r="G263" s="6" t="s">
        <v>411</v>
      </c>
      <c r="H263" s="6" t="s">
        <v>411</v>
      </c>
    </row>
    <row r="264" s="1" customFormat="1" ht="16.8" spans="1:8">
      <c r="A264" s="5" t="s">
        <v>407</v>
      </c>
      <c r="B264" s="5" t="s">
        <v>1191</v>
      </c>
      <c r="C264" s="5" t="s">
        <v>1159</v>
      </c>
      <c r="D264" s="5" t="s">
        <v>1189</v>
      </c>
      <c r="E264" s="5" t="s">
        <v>1192</v>
      </c>
      <c r="F264" s="1" t="str">
        <f t="shared" si="4"/>
        <v>HIA1-3327 E HARRISBURG PIKE,PA17057- United States</v>
      </c>
      <c r="G264" s="6" t="s">
        <v>411</v>
      </c>
      <c r="H264" s="6" t="s">
        <v>411</v>
      </c>
    </row>
    <row r="265" s="1" customFormat="1" ht="16.8" spans="1:8">
      <c r="A265" s="5" t="s">
        <v>407</v>
      </c>
      <c r="B265" s="5" t="s">
        <v>1193</v>
      </c>
      <c r="C265" s="5" t="s">
        <v>1159</v>
      </c>
      <c r="D265" s="5" t="s">
        <v>1189</v>
      </c>
      <c r="E265" s="5" t="s">
        <v>1194</v>
      </c>
      <c r="F265" s="1" t="str">
        <f t="shared" si="4"/>
        <v>ORF2-17057-2114 N Union St,PA17057- United States</v>
      </c>
      <c r="G265" s="6" t="s">
        <v>411</v>
      </c>
      <c r="H265" s="6" t="s">
        <v>411</v>
      </c>
    </row>
    <row r="266" s="1" customFormat="1" ht="16.8" spans="1:8">
      <c r="A266" s="5" t="s">
        <v>407</v>
      </c>
      <c r="B266" s="5" t="s">
        <v>1195</v>
      </c>
      <c r="C266" s="5" t="s">
        <v>1159</v>
      </c>
      <c r="D266" s="5" t="s">
        <v>1196</v>
      </c>
      <c r="E266" s="5" t="s">
        <v>1197</v>
      </c>
      <c r="F266" s="1" t="str">
        <f t="shared" si="4"/>
        <v>PHL4-21 Roadway Drive,PA17015- United States</v>
      </c>
      <c r="G266" s="6" t="s">
        <v>411</v>
      </c>
      <c r="H266" s="6" t="s">
        <v>411</v>
      </c>
    </row>
    <row r="267" s="1" customFormat="1" ht="16.8" spans="1:8">
      <c r="A267" s="5" t="s">
        <v>407</v>
      </c>
      <c r="B267" s="5" t="s">
        <v>1198</v>
      </c>
      <c r="C267" s="5" t="s">
        <v>1159</v>
      </c>
      <c r="D267" s="5" t="s">
        <v>1196</v>
      </c>
      <c r="E267" s="5" t="s">
        <v>1199</v>
      </c>
      <c r="F267" s="1" t="str">
        <f t="shared" si="4"/>
        <v>PHL6-675 Allen Rd.,PA17015- United States</v>
      </c>
      <c r="G267" s="6" t="s">
        <v>411</v>
      </c>
      <c r="H267" s="6" t="s">
        <v>411</v>
      </c>
    </row>
    <row r="268" s="1" customFormat="1" ht="16.8" spans="1:8">
      <c r="A268" s="5" t="s">
        <v>407</v>
      </c>
      <c r="B268" s="5" t="s">
        <v>1200</v>
      </c>
      <c r="C268" s="5" t="s">
        <v>1159</v>
      </c>
      <c r="D268" s="5" t="s">
        <v>1196</v>
      </c>
      <c r="E268" s="5" t="s">
        <v>1201</v>
      </c>
      <c r="F268" s="1" t="str">
        <f t="shared" si="4"/>
        <v>MDT1-2 Ames Drive,PA17015- United States</v>
      </c>
      <c r="G268" s="6" t="s">
        <v>411</v>
      </c>
      <c r="H268" s="6" t="s">
        <v>411</v>
      </c>
    </row>
    <row r="269" s="1" customFormat="1" ht="16.8" spans="1:8">
      <c r="A269" s="5" t="s">
        <v>407</v>
      </c>
      <c r="B269" s="5" t="s">
        <v>1202</v>
      </c>
      <c r="C269" s="5" t="s">
        <v>1159</v>
      </c>
      <c r="D269" s="5" t="s">
        <v>1203</v>
      </c>
      <c r="E269" s="5" t="s">
        <v>1204</v>
      </c>
      <c r="F269" s="1" t="str">
        <f t="shared" si="4"/>
        <v>LBE1-165 GLENN FOX RD,PA15672-9703- United States</v>
      </c>
      <c r="G269" s="6" t="s">
        <v>411</v>
      </c>
      <c r="H269" s="6" t="s">
        <v>411</v>
      </c>
    </row>
    <row r="270" s="1" customFormat="1" ht="16.8" spans="1:8">
      <c r="A270" s="5" t="s">
        <v>407</v>
      </c>
      <c r="B270" s="5" t="s">
        <v>1205</v>
      </c>
      <c r="C270" s="5" t="s">
        <v>1159</v>
      </c>
      <c r="D270" s="5" t="s">
        <v>1206</v>
      </c>
      <c r="E270" s="5" t="s">
        <v>1207</v>
      </c>
      <c r="F270" s="1" t="str">
        <f t="shared" si="4"/>
        <v>LBE1-UPS-165 Glen Fox Road,PA15605- United States</v>
      </c>
      <c r="G270" s="6" t="s">
        <v>411</v>
      </c>
      <c r="H270" s="6" t="s">
        <v>411</v>
      </c>
    </row>
    <row r="271" s="1" customFormat="1" ht="16.8" spans="1:8">
      <c r="A271" s="5" t="s">
        <v>407</v>
      </c>
      <c r="B271" s="5" t="s">
        <v>1208</v>
      </c>
      <c r="C271" s="5" t="s">
        <v>1159</v>
      </c>
      <c r="D271" s="5" t="s">
        <v>1209</v>
      </c>
      <c r="E271" s="5" t="s">
        <v>1210</v>
      </c>
      <c r="F271" s="1" t="str">
        <f t="shared" si="4"/>
        <v>PIT2-1200 Westport Rd,PA15126- United States</v>
      </c>
      <c r="G271" s="6" t="s">
        <v>411</v>
      </c>
      <c r="H271" s="6" t="s">
        <v>411</v>
      </c>
    </row>
    <row r="272" s="1" customFormat="1" ht="16.8" spans="1:8">
      <c r="A272" s="5" t="s">
        <v>407</v>
      </c>
      <c r="B272" s="5" t="s">
        <v>1211</v>
      </c>
      <c r="C272" s="5" t="s">
        <v>1212</v>
      </c>
      <c r="D272" s="5" t="s">
        <v>1213</v>
      </c>
      <c r="E272" s="5" t="s">
        <v>1214</v>
      </c>
      <c r="F272" s="1" t="str">
        <f t="shared" si="4"/>
        <v>SWF1-635 INTERNATIONAL BLVD,NY12575-5150- United States</v>
      </c>
      <c r="G272" s="6" t="s">
        <v>411</v>
      </c>
      <c r="H272" s="6" t="s">
        <v>411</v>
      </c>
    </row>
    <row r="273" s="1" customFormat="1" ht="16.8" spans="1:8">
      <c r="A273" s="5" t="s">
        <v>407</v>
      </c>
      <c r="B273" s="5" t="s">
        <v>1215</v>
      </c>
      <c r="C273" s="5" t="s">
        <v>1212</v>
      </c>
      <c r="D273" s="5" t="s">
        <v>1216</v>
      </c>
      <c r="E273" s="5" t="s">
        <v>1217</v>
      </c>
      <c r="F273" s="1" t="str">
        <f t="shared" si="4"/>
        <v>SWF2-76 Patriot Way,NY12533-6159- United States</v>
      </c>
      <c r="G273" s="6" t="s">
        <v>411</v>
      </c>
      <c r="H273" s="6" t="s">
        <v>411</v>
      </c>
    </row>
    <row r="274" s="1" customFormat="1" ht="16.8" spans="1:8">
      <c r="A274" s="5" t="s">
        <v>407</v>
      </c>
      <c r="B274" s="5" t="s">
        <v>1218</v>
      </c>
      <c r="C274" s="5" t="s">
        <v>1212</v>
      </c>
      <c r="D274" s="5" t="s">
        <v>1219</v>
      </c>
      <c r="E274" s="5" t="s">
        <v>1220</v>
      </c>
      <c r="F274" s="1" t="str">
        <f t="shared" si="4"/>
        <v>ALB1-1835 US Route 9,NY12033-9634- United States</v>
      </c>
      <c r="G274" s="6" t="s">
        <v>411</v>
      </c>
      <c r="H274" s="6" t="s">
        <v>411</v>
      </c>
    </row>
    <row r="275" s="1" customFormat="1" ht="16.8" spans="1:8">
      <c r="A275" s="5" t="s">
        <v>407</v>
      </c>
      <c r="B275" s="5" t="s">
        <v>1221</v>
      </c>
      <c r="C275" s="5" t="s">
        <v>1212</v>
      </c>
      <c r="D275" s="5" t="s">
        <v>1222</v>
      </c>
      <c r="E275" s="5" t="s">
        <v>1223</v>
      </c>
      <c r="F275" s="1" t="str">
        <f t="shared" si="4"/>
        <v>SWF2-UPS-557 Tuckahoe Road,NY10710- United States</v>
      </c>
      <c r="G275" s="6" t="s">
        <v>411</v>
      </c>
      <c r="H275" s="6" t="s">
        <v>411</v>
      </c>
    </row>
    <row r="276" s="1" customFormat="1" ht="16.8" spans="1:8">
      <c r="A276" s="5" t="s">
        <v>407</v>
      </c>
      <c r="B276" s="5" t="s">
        <v>1224</v>
      </c>
      <c r="C276" s="5" t="s">
        <v>1212</v>
      </c>
      <c r="D276" s="5" t="s">
        <v>1225</v>
      </c>
      <c r="E276" s="5" t="s">
        <v>1226</v>
      </c>
      <c r="F276" s="1" t="str">
        <f t="shared" si="4"/>
        <v>JFK8-546 Gulf Avenue,NY10314- United States</v>
      </c>
      <c r="G276" s="6" t="s">
        <v>411</v>
      </c>
      <c r="H276" s="6" t="s">
        <v>411</v>
      </c>
    </row>
    <row r="277" s="1" customFormat="1" ht="16.8" spans="1:8">
      <c r="A277" s="5" t="s">
        <v>407</v>
      </c>
      <c r="B277" s="5" t="s">
        <v>1227</v>
      </c>
      <c r="C277" s="5" t="s">
        <v>1228</v>
      </c>
      <c r="D277" s="5" t="s">
        <v>1229</v>
      </c>
      <c r="E277" s="5" t="s">
        <v>1230</v>
      </c>
      <c r="F277" s="1" t="str">
        <f t="shared" si="4"/>
        <v>TEB9-601 Randolph Road 08873 - SOMERSET ,NJ08873- United States</v>
      </c>
      <c r="G277" s="6" t="s">
        <v>411</v>
      </c>
      <c r="H277" s="6" t="s">
        <v>411</v>
      </c>
    </row>
    <row r="278" s="1" customFormat="1" ht="16.8" spans="1:8">
      <c r="A278" s="5" t="s">
        <v>407</v>
      </c>
      <c r="B278" s="5" t="s">
        <v>1231</v>
      </c>
      <c r="C278" s="5" t="s">
        <v>1228</v>
      </c>
      <c r="D278" s="5" t="s">
        <v>1232</v>
      </c>
      <c r="E278" s="5" t="s">
        <v>1233</v>
      </c>
      <c r="F278" s="1" t="str">
        <f t="shared" si="4"/>
        <v>EWR4-50 New Canton Way,NJ08691-2350- United States</v>
      </c>
      <c r="G278" s="6" t="s">
        <v>411</v>
      </c>
      <c r="H278" s="6" t="s">
        <v>411</v>
      </c>
    </row>
    <row r="279" s="1" customFormat="1" ht="16.8" spans="1:8">
      <c r="A279" s="5" t="s">
        <v>407</v>
      </c>
      <c r="B279" s="5" t="s">
        <v>1234</v>
      </c>
      <c r="C279" s="5" t="s">
        <v>1228</v>
      </c>
      <c r="D279" s="5" t="s">
        <v>1235</v>
      </c>
      <c r="E279" s="5" t="s">
        <v>1236</v>
      </c>
      <c r="F279" s="1" t="str">
        <f t="shared" si="4"/>
        <v>ABE8-401 Independence Road,NJ08518- United States</v>
      </c>
      <c r="G279" s="6" t="s">
        <v>411</v>
      </c>
      <c r="H279" s="6" t="s">
        <v>411</v>
      </c>
    </row>
    <row r="280" s="1" customFormat="1" ht="16.8" spans="1:8">
      <c r="A280" s="5" t="s">
        <v>407</v>
      </c>
      <c r="B280" s="5" t="s">
        <v>1237</v>
      </c>
      <c r="C280" s="5" t="s">
        <v>1228</v>
      </c>
      <c r="D280" s="5" t="s">
        <v>1238</v>
      </c>
      <c r="E280" s="5" t="s">
        <v>1239</v>
      </c>
      <c r="F280" s="1" t="str">
        <f t="shared" si="4"/>
        <v>TEB6-22 Hightstown Cranbury State Road,NJ08512-5007- United States</v>
      </c>
      <c r="G280" s="6" t="s">
        <v>411</v>
      </c>
      <c r="H280" s="6" t="s">
        <v>411</v>
      </c>
    </row>
    <row r="281" s="1" customFormat="1" ht="16.8" spans="1:8">
      <c r="A281" s="5" t="s">
        <v>407</v>
      </c>
      <c r="B281" s="5" t="s">
        <v>1240</v>
      </c>
      <c r="C281" s="5" t="s">
        <v>1228</v>
      </c>
      <c r="D281" s="5" t="s">
        <v>1241</v>
      </c>
      <c r="E281" s="5" t="s">
        <v>1242</v>
      </c>
      <c r="F281" s="1" t="str">
        <f t="shared" si="4"/>
        <v>TTN2-343 Cranbury Half Acre Rd,NJ08512-3253- United States</v>
      </c>
      <c r="G281" s="6" t="s">
        <v>411</v>
      </c>
      <c r="H281" s="6" t="s">
        <v>411</v>
      </c>
    </row>
    <row r="282" s="1" customFormat="1" ht="16.8" spans="1:8">
      <c r="A282" s="5" t="s">
        <v>407</v>
      </c>
      <c r="B282" s="5" t="s">
        <v>1243</v>
      </c>
      <c r="C282" s="5" t="s">
        <v>1228</v>
      </c>
      <c r="D282" s="5" t="s">
        <v>1244</v>
      </c>
      <c r="E282" s="5" t="s">
        <v>1245</v>
      </c>
      <c r="F282" s="1" t="str">
        <f t="shared" si="4"/>
        <v>TEB3-2651 Oldmans Creek Rd,NJ08085- United States</v>
      </c>
      <c r="G282" s="6" t="s">
        <v>411</v>
      </c>
      <c r="H282" s="6" t="s">
        <v>411</v>
      </c>
    </row>
    <row r="283" s="1" customFormat="1" ht="16.8" spans="1:8">
      <c r="A283" s="5" t="s">
        <v>407</v>
      </c>
      <c r="B283" s="5" t="s">
        <v>1246</v>
      </c>
      <c r="C283" s="5" t="s">
        <v>1228</v>
      </c>
      <c r="D283" s="5" t="s">
        <v>1247</v>
      </c>
      <c r="E283" s="5" t="s">
        <v>1248</v>
      </c>
      <c r="F283" s="1" t="str">
        <f t="shared" si="4"/>
        <v>XEW5-995 Taylors Ln,NJ08077-2015- United States</v>
      </c>
      <c r="G283" s="6" t="s">
        <v>411</v>
      </c>
      <c r="H283" s="6" t="s">
        <v>411</v>
      </c>
    </row>
    <row r="284" s="1" customFormat="1" ht="16.8" spans="1:8">
      <c r="A284" s="5" t="s">
        <v>407</v>
      </c>
      <c r="B284" s="5" t="s">
        <v>1249</v>
      </c>
      <c r="C284" s="5" t="s">
        <v>1228</v>
      </c>
      <c r="D284" s="5" t="s">
        <v>1250</v>
      </c>
      <c r="E284" s="5" t="s">
        <v>1251</v>
      </c>
      <c r="F284" s="1" t="str">
        <f t="shared" si="4"/>
        <v>TEB4-747 COURSES LANDING RD ,PENNS GROVE,NJ08069-2955- United States</v>
      </c>
      <c r="G284" s="6" t="s">
        <v>411</v>
      </c>
      <c r="H284" s="6" t="s">
        <v>411</v>
      </c>
    </row>
    <row r="285" s="1" customFormat="1" ht="16.8" spans="1:8">
      <c r="A285" s="5" t="s">
        <v>407</v>
      </c>
      <c r="B285" s="5" t="s">
        <v>1252</v>
      </c>
      <c r="C285" s="5" t="s">
        <v>1228</v>
      </c>
      <c r="D285" s="5" t="s">
        <v>1253</v>
      </c>
      <c r="E285" s="5" t="s">
        <v>1254</v>
      </c>
      <c r="F285" s="1" t="str">
        <f t="shared" si="4"/>
        <v>IVSC-1225 Forest Parkway,NJ08066- United States</v>
      </c>
      <c r="G285" s="6" t="s">
        <v>411</v>
      </c>
      <c r="H285" s="6" t="s">
        <v>411</v>
      </c>
    </row>
    <row r="286" s="1" customFormat="1" ht="16.8" spans="1:8">
      <c r="A286" s="5" t="s">
        <v>407</v>
      </c>
      <c r="B286" s="5" t="s">
        <v>1255</v>
      </c>
      <c r="C286" s="5" t="s">
        <v>1228</v>
      </c>
      <c r="D286" s="5" t="s">
        <v>1256</v>
      </c>
      <c r="E286" s="5" t="s">
        <v>1257</v>
      </c>
      <c r="F286" s="1" t="str">
        <f t="shared" si="4"/>
        <v>ACY2-1101 E PEARL ST,NJ08016-1934- United States</v>
      </c>
      <c r="G286" s="6" t="s">
        <v>411</v>
      </c>
      <c r="H286" s="6" t="s">
        <v>411</v>
      </c>
    </row>
    <row r="287" s="1" customFormat="1" ht="16.8" spans="1:8">
      <c r="A287" s="5" t="s">
        <v>407</v>
      </c>
      <c r="B287" s="5" t="s">
        <v>1258</v>
      </c>
      <c r="C287" s="5" t="s">
        <v>1228</v>
      </c>
      <c r="D287" s="5" t="s">
        <v>1259</v>
      </c>
      <c r="E287" s="5" t="s">
        <v>1260</v>
      </c>
      <c r="F287" s="1" t="str">
        <f t="shared" si="4"/>
        <v>EWR5-301?Blair?Road?#100,NJ07001-2225- United States</v>
      </c>
      <c r="G287" s="6" t="s">
        <v>411</v>
      </c>
      <c r="H287" s="6" t="s">
        <v>411</v>
      </c>
    </row>
    <row r="288" s="1" customFormat="1" ht="16.8" spans="1:8">
      <c r="A288" s="5" t="s">
        <v>407</v>
      </c>
      <c r="B288" s="5" t="s">
        <v>1261</v>
      </c>
      <c r="C288" s="5" t="s">
        <v>1262</v>
      </c>
      <c r="D288" s="5" t="s">
        <v>1263</v>
      </c>
      <c r="E288" s="5" t="s">
        <v>1264</v>
      </c>
      <c r="F288" s="1" t="str">
        <f t="shared" si="4"/>
        <v>BDL6-120 County Line Dr,CT06416- United States</v>
      </c>
      <c r="G288" s="6" t="s">
        <v>411</v>
      </c>
      <c r="H288" s="6" t="s">
        <v>411</v>
      </c>
    </row>
    <row r="289" s="1" customFormat="1" ht="16.8" spans="1:8">
      <c r="A289" s="5" t="s">
        <v>407</v>
      </c>
      <c r="B289" s="5" t="s">
        <v>1265</v>
      </c>
      <c r="C289" s="5" t="s">
        <v>1266</v>
      </c>
      <c r="D289" s="5" t="s">
        <v>1267</v>
      </c>
      <c r="E289" s="5" t="s">
        <v>1268</v>
      </c>
      <c r="F289" s="1" t="str">
        <f t="shared" si="4"/>
        <v>BOS7-1180 Innovation Way,MA02720-4766- United States</v>
      </c>
      <c r="G289" s="6" t="s">
        <v>411</v>
      </c>
      <c r="H289" s="6" t="s">
        <v>411</v>
      </c>
    </row>
    <row r="1048302" s="2" customFormat="1" spans="1:5">
      <c r="A1048302" s="8"/>
      <c r="B1048302" s="8"/>
      <c r="C1048302" s="8"/>
      <c r="D1048302" s="8"/>
      <c r="E1048302" s="8"/>
    </row>
    <row r="1048303" s="2" customFormat="1" spans="1:5">
      <c r="A1048303" s="8"/>
      <c r="B1048303" s="8"/>
      <c r="C1048303" s="8"/>
      <c r="D1048303" s="8"/>
      <c r="E1048303" s="8"/>
    </row>
    <row r="1048304" s="2" customFormat="1" spans="1:5">
      <c r="A1048304" s="8"/>
      <c r="B1048304" s="8"/>
      <c r="C1048304" s="8"/>
      <c r="D1048304" s="8"/>
      <c r="E1048304" s="8"/>
    </row>
    <row r="1048305" s="2" customFormat="1" spans="1:5">
      <c r="A1048305" s="8"/>
      <c r="B1048305" s="8"/>
      <c r="C1048305" s="8"/>
      <c r="D1048305" s="8"/>
      <c r="E1048305" s="8"/>
    </row>
    <row r="1048306" s="2" customFormat="1" spans="1:5">
      <c r="A1048306" s="8"/>
      <c r="B1048306" s="8"/>
      <c r="C1048306" s="8"/>
      <c r="D1048306" s="8"/>
      <c r="E1048306" s="8"/>
    </row>
    <row r="1048307" s="2" customFormat="1" spans="1:5">
      <c r="A1048307" s="8"/>
      <c r="B1048307" s="8"/>
      <c r="C1048307" s="8"/>
      <c r="D1048307" s="8"/>
      <c r="E1048307" s="8"/>
    </row>
    <row r="1048308" s="2" customFormat="1" spans="1:5">
      <c r="A1048308" s="8"/>
      <c r="B1048308" s="8"/>
      <c r="C1048308" s="8"/>
      <c r="D1048308" s="8"/>
      <c r="E1048308" s="8"/>
    </row>
    <row r="1048309" s="2" customFormat="1" spans="1:5">
      <c r="A1048309" s="8"/>
      <c r="B1048309" s="8"/>
      <c r="C1048309" s="8"/>
      <c r="D1048309" s="8"/>
      <c r="E1048309" s="8"/>
    </row>
    <row r="1048310" s="2" customFormat="1" spans="1:5">
      <c r="A1048310" s="8"/>
      <c r="B1048310" s="8"/>
      <c r="C1048310" s="8"/>
      <c r="D1048310" s="8"/>
      <c r="E1048310" s="8"/>
    </row>
    <row r="1048311" s="2" customFormat="1" spans="1:5">
      <c r="A1048311" s="8"/>
      <c r="B1048311" s="8"/>
      <c r="C1048311" s="8"/>
      <c r="D1048311" s="8"/>
      <c r="E1048311" s="8"/>
    </row>
    <row r="1048312" s="2" customFormat="1" spans="1:5">
      <c r="A1048312" s="8"/>
      <c r="B1048312" s="8"/>
      <c r="C1048312" s="8"/>
      <c r="D1048312" s="8"/>
      <c r="E1048312" s="8"/>
    </row>
    <row r="1048313" s="2" customFormat="1" spans="1:5">
      <c r="A1048313" s="8"/>
      <c r="B1048313" s="8"/>
      <c r="C1048313" s="8"/>
      <c r="D1048313" s="8"/>
      <c r="E1048313" s="8"/>
    </row>
    <row r="1048314" s="2" customFormat="1" spans="1:5">
      <c r="A1048314" s="8"/>
      <c r="B1048314" s="8"/>
      <c r="C1048314" s="8"/>
      <c r="D1048314" s="8"/>
      <c r="E1048314" s="8"/>
    </row>
    <row r="1048315" s="2" customFormat="1" spans="1:5">
      <c r="A1048315" s="8"/>
      <c r="B1048315" s="8"/>
      <c r="C1048315" s="8"/>
      <c r="D1048315" s="8"/>
      <c r="E1048315" s="8"/>
    </row>
    <row r="1048316" s="2" customFormat="1" spans="1:5">
      <c r="A1048316" s="8"/>
      <c r="B1048316" s="8"/>
      <c r="C1048316" s="8"/>
      <c r="D1048316" s="8"/>
      <c r="E1048316" s="8"/>
    </row>
    <row r="1048317" s="2" customFormat="1" spans="1:5">
      <c r="A1048317" s="8"/>
      <c r="B1048317" s="8"/>
      <c r="C1048317" s="8"/>
      <c r="D1048317" s="8"/>
      <c r="E1048317" s="8"/>
    </row>
    <row r="1048318" s="2" customFormat="1" spans="1:5">
      <c r="A1048318" s="8"/>
      <c r="B1048318" s="8"/>
      <c r="C1048318" s="8"/>
      <c r="D1048318" s="8"/>
      <c r="E1048318" s="8"/>
    </row>
    <row r="1048319" s="2" customFormat="1" spans="1:5">
      <c r="A1048319" s="8"/>
      <c r="B1048319" s="8"/>
      <c r="C1048319" s="8"/>
      <c r="D1048319" s="8"/>
      <c r="E1048319" s="8"/>
    </row>
    <row r="1048320" s="2" customFormat="1" spans="1:5">
      <c r="A1048320" s="8"/>
      <c r="B1048320" s="8"/>
      <c r="C1048320" s="8"/>
      <c r="D1048320" s="8"/>
      <c r="E1048320" s="8"/>
    </row>
    <row r="1048321" s="2" customFormat="1" spans="1:5">
      <c r="A1048321" s="8"/>
      <c r="B1048321" s="8"/>
      <c r="C1048321" s="8"/>
      <c r="D1048321" s="8"/>
      <c r="E1048321" s="8"/>
    </row>
    <row r="1048322" s="2" customFormat="1" spans="1:5">
      <c r="A1048322" s="8"/>
      <c r="B1048322" s="8"/>
      <c r="C1048322" s="8"/>
      <c r="D1048322" s="8"/>
      <c r="E1048322" s="8"/>
    </row>
    <row r="1048323" s="2" customFormat="1" spans="1:5">
      <c r="A1048323" s="8"/>
      <c r="B1048323" s="8"/>
      <c r="C1048323" s="8"/>
      <c r="D1048323" s="8"/>
      <c r="E1048323" s="8"/>
    </row>
    <row r="1048324" s="2" customFormat="1" spans="1:5">
      <c r="A1048324" s="8"/>
      <c r="B1048324" s="8"/>
      <c r="C1048324" s="8"/>
      <c r="D1048324" s="8"/>
      <c r="E1048324" s="8"/>
    </row>
    <row r="1048325" s="2" customFormat="1" spans="1:5">
      <c r="A1048325" s="8"/>
      <c r="B1048325" s="8"/>
      <c r="C1048325" s="8"/>
      <c r="D1048325" s="8"/>
      <c r="E1048325" s="8"/>
    </row>
    <row r="1048326" s="2" customFormat="1" spans="1:5">
      <c r="A1048326" s="8"/>
      <c r="B1048326" s="8"/>
      <c r="C1048326" s="8"/>
      <c r="D1048326" s="8"/>
      <c r="E1048326" s="8"/>
    </row>
    <row r="1048327" s="2" customFormat="1" spans="1:5">
      <c r="A1048327" s="8"/>
      <c r="B1048327" s="8"/>
      <c r="C1048327" s="8"/>
      <c r="D1048327" s="8"/>
      <c r="E1048327" s="8"/>
    </row>
    <row r="1048328" s="2" customFormat="1" spans="1:5">
      <c r="A1048328" s="8"/>
      <c r="B1048328" s="8"/>
      <c r="C1048328" s="8"/>
      <c r="D1048328" s="8"/>
      <c r="E1048328" s="8"/>
    </row>
    <row r="1048329" s="2" customFormat="1" spans="1:5">
      <c r="A1048329" s="8"/>
      <c r="B1048329" s="8"/>
      <c r="C1048329" s="8"/>
      <c r="D1048329" s="8"/>
      <c r="E1048329" s="8"/>
    </row>
    <row r="1048330" s="2" customFormat="1" spans="1:5">
      <c r="A1048330" s="8"/>
      <c r="B1048330" s="8"/>
      <c r="C1048330" s="8"/>
      <c r="D1048330" s="8"/>
      <c r="E1048330" s="8"/>
    </row>
    <row r="1048331" s="2" customFormat="1" spans="1:5">
      <c r="A1048331" s="8"/>
      <c r="B1048331" s="8"/>
      <c r="C1048331" s="8"/>
      <c r="D1048331" s="8"/>
      <c r="E1048331" s="8"/>
    </row>
    <row r="1048332" s="2" customFormat="1" spans="1:5">
      <c r="A1048332" s="8"/>
      <c r="B1048332" s="8"/>
      <c r="C1048332" s="8"/>
      <c r="D1048332" s="8"/>
      <c r="E1048332" s="8"/>
    </row>
    <row r="1048333" s="2" customFormat="1" spans="1:5">
      <c r="A1048333" s="8"/>
      <c r="B1048333" s="8"/>
      <c r="C1048333" s="8"/>
      <c r="D1048333" s="8"/>
      <c r="E1048333" s="8"/>
    </row>
    <row r="1048334" s="2" customFormat="1" spans="1:5">
      <c r="A1048334" s="8"/>
      <c r="B1048334" s="8"/>
      <c r="C1048334" s="8"/>
      <c r="D1048334" s="8"/>
      <c r="E1048334" s="8"/>
    </row>
    <row r="1048335" s="2" customFormat="1" spans="1:5">
      <c r="A1048335" s="8"/>
      <c r="B1048335" s="8"/>
      <c r="C1048335" s="8"/>
      <c r="D1048335" s="8"/>
      <c r="E1048335" s="8"/>
    </row>
    <row r="1048336" s="2" customFormat="1" spans="1:5">
      <c r="A1048336" s="8"/>
      <c r="B1048336" s="8"/>
      <c r="C1048336" s="8"/>
      <c r="D1048336" s="8"/>
      <c r="E1048336" s="8"/>
    </row>
    <row r="1048337" s="2" customFormat="1" spans="1:5">
      <c r="A1048337" s="8"/>
      <c r="B1048337" s="8"/>
      <c r="C1048337" s="8"/>
      <c r="D1048337" s="8"/>
      <c r="E1048337" s="8"/>
    </row>
    <row r="1048338" s="2" customFormat="1" spans="1:5">
      <c r="A1048338" s="8"/>
      <c r="B1048338" s="8"/>
      <c r="C1048338" s="8"/>
      <c r="D1048338" s="8"/>
      <c r="E1048338" s="8"/>
    </row>
    <row r="1048339" s="2" customFormat="1" spans="1:5">
      <c r="A1048339" s="8"/>
      <c r="B1048339" s="8"/>
      <c r="C1048339" s="8"/>
      <c r="D1048339" s="8"/>
      <c r="E1048339" s="8"/>
    </row>
    <row r="1048340" s="2" customFormat="1" spans="1:5">
      <c r="A1048340" s="8"/>
      <c r="B1048340" s="8"/>
      <c r="C1048340" s="8"/>
      <c r="D1048340" s="8"/>
      <c r="E1048340" s="8"/>
    </row>
    <row r="1048341" s="2" customFormat="1" spans="1:5">
      <c r="A1048341" s="8"/>
      <c r="B1048341" s="8"/>
      <c r="C1048341" s="8"/>
      <c r="D1048341" s="8"/>
      <c r="E1048341" s="8"/>
    </row>
    <row r="1048342" s="2" customFormat="1" spans="1:5">
      <c r="A1048342" s="8"/>
      <c r="B1048342" s="8"/>
      <c r="C1048342" s="8"/>
      <c r="D1048342" s="8"/>
      <c r="E1048342" s="8"/>
    </row>
    <row r="1048343" s="2" customFormat="1" spans="1:5">
      <c r="A1048343" s="8"/>
      <c r="B1048343" s="8"/>
      <c r="C1048343" s="8"/>
      <c r="D1048343" s="8"/>
      <c r="E1048343" s="8"/>
    </row>
    <row r="1048344" s="2" customFormat="1" spans="1:5">
      <c r="A1048344" s="8"/>
      <c r="B1048344" s="8"/>
      <c r="C1048344" s="8"/>
      <c r="D1048344" s="8"/>
      <c r="E1048344" s="8"/>
    </row>
    <row r="1048345" s="2" customFormat="1" spans="1:5">
      <c r="A1048345" s="8"/>
      <c r="B1048345" s="8"/>
      <c r="C1048345" s="8"/>
      <c r="D1048345" s="8"/>
      <c r="E1048345" s="8"/>
    </row>
    <row r="1048346" s="2" customFormat="1" spans="1:5">
      <c r="A1048346" s="8"/>
      <c r="B1048346" s="8"/>
      <c r="C1048346" s="8"/>
      <c r="D1048346" s="8"/>
      <c r="E1048346" s="8"/>
    </row>
    <row r="1048347" s="2" customFormat="1" spans="1:5">
      <c r="A1048347" s="8"/>
      <c r="B1048347" s="8"/>
      <c r="C1048347" s="8"/>
      <c r="D1048347" s="8"/>
      <c r="E1048347" s="8"/>
    </row>
    <row r="1048348" s="2" customFormat="1" spans="1:5">
      <c r="A1048348" s="8"/>
      <c r="B1048348" s="8"/>
      <c r="C1048348" s="8"/>
      <c r="D1048348" s="8"/>
      <c r="E1048348" s="8"/>
    </row>
    <row r="1048349" s="2" customFormat="1" spans="1:5">
      <c r="A1048349" s="8"/>
      <c r="B1048349" s="8"/>
      <c r="C1048349" s="8"/>
      <c r="D1048349" s="8"/>
      <c r="E1048349" s="8"/>
    </row>
    <row r="1048350" s="2" customFormat="1" spans="1:5">
      <c r="A1048350" s="8"/>
      <c r="B1048350" s="8"/>
      <c r="C1048350" s="8"/>
      <c r="D1048350" s="8"/>
      <c r="E1048350" s="8"/>
    </row>
    <row r="1048351" s="2" customFormat="1" spans="1:5">
      <c r="A1048351" s="8"/>
      <c r="B1048351" s="8"/>
      <c r="C1048351" s="8"/>
      <c r="D1048351" s="8"/>
      <c r="E1048351" s="8"/>
    </row>
    <row r="1048352" s="2" customFormat="1" spans="1:5">
      <c r="A1048352" s="8"/>
      <c r="B1048352" s="8"/>
      <c r="C1048352" s="8"/>
      <c r="D1048352" s="8"/>
      <c r="E1048352" s="8"/>
    </row>
    <row r="1048353" s="2" customFormat="1" spans="1:5">
      <c r="A1048353" s="8"/>
      <c r="B1048353" s="8"/>
      <c r="C1048353" s="8"/>
      <c r="D1048353" s="8"/>
      <c r="E1048353" s="8"/>
    </row>
    <row r="1048354" s="2" customFormat="1" spans="1:5">
      <c r="A1048354" s="8"/>
      <c r="B1048354" s="8"/>
      <c r="C1048354" s="8"/>
      <c r="D1048354" s="8"/>
      <c r="E1048354" s="8"/>
    </row>
    <row r="1048355" s="2" customFormat="1" spans="1:5">
      <c r="A1048355" s="8"/>
      <c r="B1048355" s="8"/>
      <c r="C1048355" s="8"/>
      <c r="D1048355" s="8"/>
      <c r="E1048355" s="8"/>
    </row>
    <row r="1048356" s="2" customFormat="1" spans="1:5">
      <c r="A1048356" s="8"/>
      <c r="B1048356" s="8"/>
      <c r="C1048356" s="8"/>
      <c r="D1048356" s="8"/>
      <c r="E1048356" s="8"/>
    </row>
    <row r="1048357" s="2" customFormat="1" spans="1:5">
      <c r="A1048357" s="8"/>
      <c r="B1048357" s="8"/>
      <c r="C1048357" s="8"/>
      <c r="D1048357" s="8"/>
      <c r="E1048357" s="8"/>
    </row>
    <row r="1048358" s="2" customFormat="1" spans="1:5">
      <c r="A1048358" s="8"/>
      <c r="B1048358" s="8"/>
      <c r="C1048358" s="8"/>
      <c r="D1048358" s="8"/>
      <c r="E1048358" s="8"/>
    </row>
    <row r="1048359" s="2" customFormat="1" spans="1:5">
      <c r="A1048359" s="8"/>
      <c r="B1048359" s="8"/>
      <c r="C1048359" s="8"/>
      <c r="D1048359" s="8"/>
      <c r="E1048359" s="8"/>
    </row>
    <row r="1048360" s="2" customFormat="1" spans="1:5">
      <c r="A1048360" s="8"/>
      <c r="B1048360" s="8"/>
      <c r="C1048360" s="8"/>
      <c r="D1048360" s="8"/>
      <c r="E1048360" s="8"/>
    </row>
    <row r="1048361" s="2" customFormat="1" spans="1:5">
      <c r="A1048361" s="8"/>
      <c r="B1048361" s="8"/>
      <c r="C1048361" s="8"/>
      <c r="D1048361" s="8"/>
      <c r="E1048361" s="8"/>
    </row>
    <row r="1048362" s="2" customFormat="1" spans="1:5">
      <c r="A1048362" s="8"/>
      <c r="B1048362" s="8"/>
      <c r="C1048362" s="8"/>
      <c r="D1048362" s="8"/>
      <c r="E1048362" s="8"/>
    </row>
    <row r="1048363" s="2" customFormat="1" spans="1:5">
      <c r="A1048363" s="8"/>
      <c r="B1048363" s="8"/>
      <c r="C1048363" s="8"/>
      <c r="D1048363" s="8"/>
      <c r="E1048363" s="8"/>
    </row>
    <row r="1048364" s="2" customFormat="1" spans="1:5">
      <c r="A1048364" s="8"/>
      <c r="B1048364" s="8"/>
      <c r="C1048364" s="8"/>
      <c r="D1048364" s="8"/>
      <c r="E1048364" s="8"/>
    </row>
    <row r="1048365" s="2" customFormat="1" spans="1:5">
      <c r="A1048365" s="8"/>
      <c r="B1048365" s="8"/>
      <c r="C1048365" s="8"/>
      <c r="D1048365" s="8"/>
      <c r="E1048365" s="8"/>
    </row>
    <row r="1048366" s="2" customFormat="1" spans="1:5">
      <c r="A1048366" s="8"/>
      <c r="B1048366" s="8"/>
      <c r="C1048366" s="8"/>
      <c r="D1048366" s="8"/>
      <c r="E1048366" s="8"/>
    </row>
    <row r="1048367" s="2" customFormat="1" spans="1:5">
      <c r="A1048367" s="8"/>
      <c r="B1048367" s="8"/>
      <c r="C1048367" s="8"/>
      <c r="D1048367" s="8"/>
      <c r="E1048367" s="8"/>
    </row>
    <row r="1048368" s="2" customFormat="1" spans="1:5">
      <c r="A1048368" s="8"/>
      <c r="B1048368" s="8"/>
      <c r="C1048368" s="8"/>
      <c r="D1048368" s="8"/>
      <c r="E1048368" s="8"/>
    </row>
    <row r="1048369" s="2" customFormat="1" spans="1:5">
      <c r="A1048369" s="8"/>
      <c r="B1048369" s="8"/>
      <c r="C1048369" s="8"/>
      <c r="D1048369" s="8"/>
      <c r="E1048369" s="8"/>
    </row>
    <row r="1048370" s="2" customFormat="1" spans="1:5">
      <c r="A1048370" s="8"/>
      <c r="B1048370" s="8"/>
      <c r="C1048370" s="8"/>
      <c r="D1048370" s="8"/>
      <c r="E1048370" s="8"/>
    </row>
    <row r="1048371" s="2" customFormat="1" spans="1:5">
      <c r="A1048371" s="8"/>
      <c r="B1048371" s="8"/>
      <c r="C1048371" s="8"/>
      <c r="D1048371" s="8"/>
      <c r="E1048371" s="8"/>
    </row>
    <row r="1048372" s="2" customFormat="1" spans="1:5">
      <c r="A1048372" s="8"/>
      <c r="B1048372" s="8"/>
      <c r="C1048372" s="8"/>
      <c r="D1048372" s="8"/>
      <c r="E1048372" s="8"/>
    </row>
    <row r="1048373" s="2" customFormat="1" spans="1:5">
      <c r="A1048373" s="8"/>
      <c r="B1048373" s="8"/>
      <c r="C1048373" s="8"/>
      <c r="D1048373" s="8"/>
      <c r="E1048373" s="8"/>
    </row>
    <row r="1048374" s="2" customFormat="1" spans="1:5">
      <c r="A1048374" s="8"/>
      <c r="B1048374" s="8"/>
      <c r="C1048374" s="8"/>
      <c r="D1048374" s="8"/>
      <c r="E1048374" s="8"/>
    </row>
    <row r="1048375" s="2" customFormat="1" spans="1:5">
      <c r="A1048375" s="8"/>
      <c r="B1048375" s="8"/>
      <c r="C1048375" s="8"/>
      <c r="D1048375" s="8"/>
      <c r="E1048375" s="8"/>
    </row>
    <row r="1048376" s="2" customFormat="1" spans="1:5">
      <c r="A1048376" s="8"/>
      <c r="B1048376" s="8"/>
      <c r="C1048376" s="8"/>
      <c r="D1048376" s="8"/>
      <c r="E1048376" s="8"/>
    </row>
    <row r="1048377" s="2" customFormat="1" spans="1:5">
      <c r="A1048377" s="8"/>
      <c r="B1048377" s="8"/>
      <c r="C1048377" s="8"/>
      <c r="D1048377" s="8"/>
      <c r="E1048377" s="8"/>
    </row>
    <row r="1048378" s="2" customFormat="1" spans="1:5">
      <c r="A1048378" s="8"/>
      <c r="B1048378" s="8"/>
      <c r="C1048378" s="8"/>
      <c r="D1048378" s="8"/>
      <c r="E1048378" s="8"/>
    </row>
    <row r="1048379" s="2" customFormat="1" spans="1:5">
      <c r="A1048379" s="8"/>
      <c r="B1048379" s="8"/>
      <c r="C1048379" s="8"/>
      <c r="D1048379" s="8"/>
      <c r="E1048379" s="8"/>
    </row>
    <row r="1048380" s="2" customFormat="1" spans="1:5">
      <c r="A1048380" s="8"/>
      <c r="B1048380" s="8"/>
      <c r="C1048380" s="8"/>
      <c r="D1048380" s="8"/>
      <c r="E1048380" s="8"/>
    </row>
    <row r="1048381" s="2" customFormat="1" spans="1:5">
      <c r="A1048381" s="8"/>
      <c r="B1048381" s="8"/>
      <c r="C1048381" s="8"/>
      <c r="D1048381" s="8"/>
      <c r="E1048381" s="8"/>
    </row>
    <row r="1048382" s="2" customFormat="1" spans="1:5">
      <c r="A1048382" s="8"/>
      <c r="B1048382" s="8"/>
      <c r="C1048382" s="8"/>
      <c r="D1048382" s="8"/>
      <c r="E1048382" s="8"/>
    </row>
    <row r="1048383" s="2" customFormat="1" spans="1:5">
      <c r="A1048383" s="8"/>
      <c r="B1048383" s="8"/>
      <c r="C1048383" s="8"/>
      <c r="D1048383" s="8"/>
      <c r="E1048383" s="8"/>
    </row>
    <row r="1048384" s="2" customFormat="1" spans="1:5">
      <c r="A1048384" s="8"/>
      <c r="B1048384" s="8"/>
      <c r="C1048384" s="8"/>
      <c r="D1048384" s="8"/>
      <c r="E1048384" s="8"/>
    </row>
    <row r="1048385" s="2" customFormat="1" spans="1:5">
      <c r="A1048385" s="8"/>
      <c r="B1048385" s="8"/>
      <c r="C1048385" s="8"/>
      <c r="D1048385" s="8"/>
      <c r="E1048385" s="8"/>
    </row>
    <row r="1048386" s="2" customFormat="1" spans="1:5">
      <c r="A1048386" s="8"/>
      <c r="B1048386" s="8"/>
      <c r="C1048386" s="8"/>
      <c r="D1048386" s="8"/>
      <c r="E1048386" s="8"/>
    </row>
    <row r="1048387" s="2" customFormat="1" spans="1:5">
      <c r="A1048387" s="8"/>
      <c r="B1048387" s="8"/>
      <c r="C1048387" s="8"/>
      <c r="D1048387" s="8"/>
      <c r="E1048387" s="8"/>
    </row>
    <row r="1048388" s="2" customFormat="1" spans="1:5">
      <c r="A1048388" s="8"/>
      <c r="B1048388" s="8"/>
      <c r="C1048388" s="8"/>
      <c r="D1048388" s="8"/>
      <c r="E1048388" s="8"/>
    </row>
    <row r="1048389" s="2" customFormat="1" spans="1:5">
      <c r="A1048389" s="8"/>
      <c r="B1048389" s="8"/>
      <c r="C1048389" s="8"/>
      <c r="D1048389" s="8"/>
      <c r="E1048389" s="8"/>
    </row>
    <row r="1048390" s="2" customFormat="1" spans="1:5">
      <c r="A1048390" s="8"/>
      <c r="B1048390" s="8"/>
      <c r="C1048390" s="8"/>
      <c r="D1048390" s="8"/>
      <c r="E1048390" s="8"/>
    </row>
    <row r="1048391" s="2" customFormat="1" spans="1:5">
      <c r="A1048391" s="8"/>
      <c r="B1048391" s="8"/>
      <c r="C1048391" s="8"/>
      <c r="D1048391" s="8"/>
      <c r="E1048391" s="8"/>
    </row>
    <row r="1048392" s="2" customFormat="1" spans="1:5">
      <c r="A1048392" s="8"/>
      <c r="B1048392" s="8"/>
      <c r="C1048392" s="8"/>
      <c r="D1048392" s="8"/>
      <c r="E1048392" s="8"/>
    </row>
    <row r="1048393" s="2" customFormat="1" spans="1:5">
      <c r="A1048393" s="8"/>
      <c r="B1048393" s="8"/>
      <c r="C1048393" s="8"/>
      <c r="D1048393" s="8"/>
      <c r="E1048393" s="8"/>
    </row>
    <row r="1048394" s="2" customFormat="1" spans="1:5">
      <c r="A1048394" s="8"/>
      <c r="B1048394" s="8"/>
      <c r="C1048394" s="8"/>
      <c r="D1048394" s="8"/>
      <c r="E1048394" s="8"/>
    </row>
    <row r="1048395" s="2" customFormat="1" spans="1:5">
      <c r="A1048395" s="8"/>
      <c r="B1048395" s="8"/>
      <c r="C1048395" s="8"/>
      <c r="D1048395" s="8"/>
      <c r="E1048395" s="8"/>
    </row>
    <row r="1048396" s="2" customFormat="1" spans="1:5">
      <c r="A1048396" s="8"/>
      <c r="B1048396" s="8"/>
      <c r="C1048396" s="8"/>
      <c r="D1048396" s="8"/>
      <c r="E1048396" s="8"/>
    </row>
    <row r="1048397" s="2" customFormat="1" spans="1:5">
      <c r="A1048397" s="8"/>
      <c r="B1048397" s="8"/>
      <c r="C1048397" s="8"/>
      <c r="D1048397" s="8"/>
      <c r="E1048397" s="8"/>
    </row>
    <row r="1048398" s="2" customFormat="1" spans="1:5">
      <c r="A1048398" s="8"/>
      <c r="B1048398" s="8"/>
      <c r="C1048398" s="8"/>
      <c r="D1048398" s="8"/>
      <c r="E1048398" s="8"/>
    </row>
    <row r="1048399" s="2" customFormat="1" spans="1:5">
      <c r="A1048399" s="8"/>
      <c r="B1048399" s="8"/>
      <c r="C1048399" s="8"/>
      <c r="D1048399" s="8"/>
      <c r="E1048399" s="8"/>
    </row>
    <row r="1048400" s="2" customFormat="1" spans="1:5">
      <c r="A1048400" s="8"/>
      <c r="B1048400" s="8"/>
      <c r="C1048400" s="8"/>
      <c r="D1048400" s="8"/>
      <c r="E1048400" s="8"/>
    </row>
    <row r="1048401" s="2" customFormat="1" spans="1:5">
      <c r="A1048401" s="8"/>
      <c r="B1048401" s="8"/>
      <c r="C1048401" s="8"/>
      <c r="D1048401" s="8"/>
      <c r="E1048401" s="8"/>
    </row>
    <row r="1048402" s="2" customFormat="1" spans="1:5">
      <c r="A1048402" s="8"/>
      <c r="B1048402" s="8"/>
      <c r="C1048402" s="8"/>
      <c r="D1048402" s="8"/>
      <c r="E1048402" s="8"/>
    </row>
    <row r="1048403" s="2" customFormat="1" spans="1:5">
      <c r="A1048403" s="8"/>
      <c r="B1048403" s="8"/>
      <c r="C1048403" s="8"/>
      <c r="D1048403" s="8"/>
      <c r="E1048403" s="8"/>
    </row>
    <row r="1048404" s="2" customFormat="1" spans="1:5">
      <c r="A1048404" s="8"/>
      <c r="B1048404" s="8"/>
      <c r="C1048404" s="8"/>
      <c r="D1048404" s="8"/>
      <c r="E1048404" s="8"/>
    </row>
    <row r="1048405" s="2" customFormat="1" spans="1:5">
      <c r="A1048405" s="8"/>
      <c r="B1048405" s="8"/>
      <c r="C1048405" s="8"/>
      <c r="D1048405" s="8"/>
      <c r="E1048405" s="8"/>
    </row>
    <row r="1048406" s="2" customFormat="1" spans="1:5">
      <c r="A1048406" s="8"/>
      <c r="B1048406" s="8"/>
      <c r="C1048406" s="8"/>
      <c r="D1048406" s="8"/>
      <c r="E1048406" s="8"/>
    </row>
    <row r="1048407" s="2" customFormat="1" spans="1:5">
      <c r="A1048407" s="8"/>
      <c r="B1048407" s="8"/>
      <c r="C1048407" s="8"/>
      <c r="D1048407" s="8"/>
      <c r="E1048407" s="8"/>
    </row>
    <row r="1048408" s="2" customFormat="1" spans="1:5">
      <c r="A1048408" s="8"/>
      <c r="B1048408" s="8"/>
      <c r="C1048408" s="8"/>
      <c r="D1048408" s="8"/>
      <c r="E1048408" s="8"/>
    </row>
    <row r="1048409" s="2" customFormat="1" spans="1:5">
      <c r="A1048409" s="8"/>
      <c r="B1048409" s="8"/>
      <c r="C1048409" s="8"/>
      <c r="D1048409" s="8"/>
      <c r="E1048409" s="8"/>
    </row>
    <row r="1048410" s="2" customFormat="1" spans="1:5">
      <c r="A1048410" s="8"/>
      <c r="B1048410" s="8"/>
      <c r="C1048410" s="8"/>
      <c r="D1048410" s="8"/>
      <c r="E1048410" s="8"/>
    </row>
    <row r="1048411" s="2" customFormat="1" spans="1:5">
      <c r="A1048411" s="8"/>
      <c r="B1048411" s="8"/>
      <c r="C1048411" s="8"/>
      <c r="D1048411" s="8"/>
      <c r="E1048411" s="8"/>
    </row>
    <row r="1048412" s="2" customFormat="1" spans="1:5">
      <c r="A1048412" s="8"/>
      <c r="B1048412" s="8"/>
      <c r="C1048412" s="8"/>
      <c r="D1048412" s="8"/>
      <c r="E1048412" s="8"/>
    </row>
    <row r="1048413" s="2" customFormat="1" spans="1:5">
      <c r="A1048413" s="8"/>
      <c r="B1048413" s="8"/>
      <c r="C1048413" s="8"/>
      <c r="D1048413" s="8"/>
      <c r="E1048413" s="8"/>
    </row>
    <row r="1048414" s="2" customFormat="1" spans="1:5">
      <c r="A1048414" s="8"/>
      <c r="B1048414" s="8"/>
      <c r="C1048414" s="8"/>
      <c r="D1048414" s="8"/>
      <c r="E1048414" s="8"/>
    </row>
    <row r="1048415" s="2" customFormat="1" spans="1:5">
      <c r="A1048415" s="8"/>
      <c r="B1048415" s="8"/>
      <c r="C1048415" s="8"/>
      <c r="D1048415" s="8"/>
      <c r="E1048415" s="8"/>
    </row>
    <row r="1048416" s="2" customFormat="1" spans="1:5">
      <c r="A1048416" s="8"/>
      <c r="B1048416" s="8"/>
      <c r="C1048416" s="8"/>
      <c r="D1048416" s="8"/>
      <c r="E1048416" s="8"/>
    </row>
    <row r="1048417" s="2" customFormat="1" spans="1:5">
      <c r="A1048417" s="8"/>
      <c r="B1048417" s="8"/>
      <c r="C1048417" s="8"/>
      <c r="D1048417" s="8"/>
      <c r="E1048417" s="8"/>
    </row>
    <row r="1048418" s="2" customFormat="1" spans="1:5">
      <c r="A1048418" s="8"/>
      <c r="B1048418" s="8"/>
      <c r="C1048418" s="8"/>
      <c r="D1048418" s="8"/>
      <c r="E1048418" s="8"/>
    </row>
    <row r="1048419" s="2" customFormat="1" spans="1:5">
      <c r="A1048419" s="8"/>
      <c r="B1048419" s="8"/>
      <c r="C1048419" s="8"/>
      <c r="D1048419" s="8"/>
      <c r="E1048419" s="8"/>
    </row>
    <row r="1048420" s="2" customFormat="1" spans="1:5">
      <c r="A1048420" s="8"/>
      <c r="B1048420" s="8"/>
      <c r="C1048420" s="8"/>
      <c r="D1048420" s="8"/>
      <c r="E1048420" s="8"/>
    </row>
    <row r="1048421" s="2" customFormat="1" spans="1:5">
      <c r="A1048421" s="8"/>
      <c r="B1048421" s="8"/>
      <c r="C1048421" s="8"/>
      <c r="D1048421" s="8"/>
      <c r="E1048421" s="8"/>
    </row>
    <row r="1048422" s="2" customFormat="1" spans="1:5">
      <c r="A1048422" s="8"/>
      <c r="B1048422" s="8"/>
      <c r="C1048422" s="8"/>
      <c r="D1048422" s="8"/>
      <c r="E1048422" s="8"/>
    </row>
    <row r="1048423" s="2" customFormat="1" spans="1:5">
      <c r="A1048423" s="8"/>
      <c r="B1048423" s="8"/>
      <c r="C1048423" s="8"/>
      <c r="D1048423" s="8"/>
      <c r="E1048423" s="8"/>
    </row>
    <row r="1048424" s="2" customFormat="1" spans="1:5">
      <c r="A1048424" s="8"/>
      <c r="B1048424" s="8"/>
      <c r="C1048424" s="8"/>
      <c r="D1048424" s="8"/>
      <c r="E1048424" s="8"/>
    </row>
    <row r="1048425" s="2" customFormat="1" spans="1:5">
      <c r="A1048425" s="8"/>
      <c r="B1048425" s="8"/>
      <c r="C1048425" s="8"/>
      <c r="D1048425" s="8"/>
      <c r="E1048425" s="8"/>
    </row>
    <row r="1048426" s="2" customFormat="1" spans="1:5">
      <c r="A1048426" s="8"/>
      <c r="B1048426" s="8"/>
      <c r="C1048426" s="8"/>
      <c r="D1048426" s="8"/>
      <c r="E1048426" s="8"/>
    </row>
    <row r="1048427" s="2" customFormat="1" spans="1:5">
      <c r="A1048427" s="8"/>
      <c r="B1048427" s="8"/>
      <c r="C1048427" s="8"/>
      <c r="D1048427" s="8"/>
      <c r="E1048427" s="8"/>
    </row>
    <row r="1048428" s="2" customFormat="1" spans="1:5">
      <c r="A1048428" s="8"/>
      <c r="B1048428" s="8"/>
      <c r="C1048428" s="8"/>
      <c r="D1048428" s="8"/>
      <c r="E1048428" s="8"/>
    </row>
    <row r="1048429" s="2" customFormat="1" spans="1:5">
      <c r="A1048429" s="8"/>
      <c r="B1048429" s="8"/>
      <c r="C1048429" s="8"/>
      <c r="D1048429" s="8"/>
      <c r="E1048429" s="8"/>
    </row>
    <row r="1048430" s="2" customFormat="1" spans="1:5">
      <c r="A1048430" s="8"/>
      <c r="B1048430" s="8"/>
      <c r="C1048430" s="8"/>
      <c r="D1048430" s="8"/>
      <c r="E1048430" s="8"/>
    </row>
    <row r="1048431" s="2" customFormat="1" spans="1:5">
      <c r="A1048431" s="8"/>
      <c r="B1048431" s="8"/>
      <c r="C1048431" s="8"/>
      <c r="D1048431" s="8"/>
      <c r="E1048431" s="8"/>
    </row>
    <row r="1048432" s="2" customFormat="1" spans="1:5">
      <c r="A1048432" s="8"/>
      <c r="B1048432" s="8"/>
      <c r="C1048432" s="8"/>
      <c r="D1048432" s="8"/>
      <c r="E1048432" s="8"/>
    </row>
    <row r="1048433" s="2" customFormat="1" spans="1:5">
      <c r="A1048433" s="8"/>
      <c r="B1048433" s="8"/>
      <c r="C1048433" s="8"/>
      <c r="D1048433" s="8"/>
      <c r="E1048433" s="8"/>
    </row>
    <row r="1048434" s="2" customFormat="1" spans="1:5">
      <c r="A1048434" s="8"/>
      <c r="B1048434" s="8"/>
      <c r="C1048434" s="8"/>
      <c r="D1048434" s="8"/>
      <c r="E1048434" s="8"/>
    </row>
    <row r="1048435" s="2" customFormat="1" spans="1:5">
      <c r="A1048435" s="8"/>
      <c r="B1048435" s="8"/>
      <c r="C1048435" s="8"/>
      <c r="D1048435" s="8"/>
      <c r="E1048435" s="8"/>
    </row>
    <row r="1048436" s="2" customFormat="1" spans="1:5">
      <c r="A1048436" s="8"/>
      <c r="B1048436" s="8"/>
      <c r="C1048436" s="8"/>
      <c r="D1048436" s="8"/>
      <c r="E1048436" s="8"/>
    </row>
    <row r="1048437" s="2" customFormat="1" spans="1:5">
      <c r="A1048437" s="8"/>
      <c r="B1048437" s="8"/>
      <c r="C1048437" s="8"/>
      <c r="D1048437" s="8"/>
      <c r="E1048437" s="8"/>
    </row>
    <row r="1048438" s="2" customFormat="1" spans="1:5">
      <c r="A1048438" s="8"/>
      <c r="B1048438" s="8"/>
      <c r="C1048438" s="8"/>
      <c r="D1048438" s="8"/>
      <c r="E1048438" s="8"/>
    </row>
    <row r="1048439" s="2" customFormat="1" spans="1:5">
      <c r="A1048439" s="8"/>
      <c r="B1048439" s="8"/>
      <c r="C1048439" s="8"/>
      <c r="D1048439" s="8"/>
      <c r="E1048439" s="8"/>
    </row>
    <row r="1048440" s="2" customFormat="1" spans="1:5">
      <c r="A1048440" s="8"/>
      <c r="B1048440" s="8"/>
      <c r="C1048440" s="8"/>
      <c r="D1048440" s="8"/>
      <c r="E1048440" s="8"/>
    </row>
    <row r="1048441" s="2" customFormat="1" spans="1:5">
      <c r="A1048441" s="8"/>
      <c r="B1048441" s="8"/>
      <c r="C1048441" s="8"/>
      <c r="D1048441" s="8"/>
      <c r="E1048441" s="8"/>
    </row>
    <row r="1048442" s="2" customFormat="1" spans="1:5">
      <c r="A1048442" s="8"/>
      <c r="B1048442" s="8"/>
      <c r="C1048442" s="8"/>
      <c r="D1048442" s="8"/>
      <c r="E1048442" s="8"/>
    </row>
    <row r="1048443" s="2" customFormat="1" spans="1:5">
      <c r="A1048443" s="8"/>
      <c r="B1048443" s="8"/>
      <c r="C1048443" s="8"/>
      <c r="D1048443" s="8"/>
      <c r="E1048443" s="8"/>
    </row>
    <row r="1048444" s="2" customFormat="1" spans="1:5">
      <c r="A1048444" s="8"/>
      <c r="B1048444" s="8"/>
      <c r="C1048444" s="8"/>
      <c r="D1048444" s="8"/>
      <c r="E1048444" s="8"/>
    </row>
    <row r="1048445" s="2" customFormat="1" spans="1:5">
      <c r="A1048445" s="8"/>
      <c r="B1048445" s="8"/>
      <c r="C1048445" s="8"/>
      <c r="D1048445" s="8"/>
      <c r="E1048445" s="8"/>
    </row>
    <row r="1048446" s="2" customFormat="1" spans="1:5">
      <c r="A1048446" s="8"/>
      <c r="B1048446" s="8"/>
      <c r="C1048446" s="8"/>
      <c r="D1048446" s="8"/>
      <c r="E1048446" s="8"/>
    </row>
    <row r="1048447" s="2" customFormat="1" spans="1:5">
      <c r="A1048447" s="8"/>
      <c r="B1048447" s="8"/>
      <c r="C1048447" s="8"/>
      <c r="D1048447" s="8"/>
      <c r="E1048447" s="8"/>
    </row>
    <row r="1048448" s="2" customFormat="1" spans="1:5">
      <c r="A1048448" s="8"/>
      <c r="B1048448" s="8"/>
      <c r="C1048448" s="8"/>
      <c r="D1048448" s="8"/>
      <c r="E1048448" s="8"/>
    </row>
    <row r="1048449" s="2" customFormat="1" spans="1:5">
      <c r="A1048449" s="8"/>
      <c r="B1048449" s="8"/>
      <c r="C1048449" s="8"/>
      <c r="D1048449" s="8"/>
      <c r="E1048449" s="8"/>
    </row>
    <row r="1048450" s="2" customFormat="1" spans="1:5">
      <c r="A1048450" s="8"/>
      <c r="B1048450" s="8"/>
      <c r="C1048450" s="8"/>
      <c r="D1048450" s="8"/>
      <c r="E1048450" s="8"/>
    </row>
    <row r="1048451" s="2" customFormat="1" spans="1:5">
      <c r="A1048451" s="8"/>
      <c r="B1048451" s="8"/>
      <c r="C1048451" s="8"/>
      <c r="D1048451" s="8"/>
      <c r="E1048451" s="8"/>
    </row>
    <row r="1048452" s="2" customFormat="1" spans="1:5">
      <c r="A1048452" s="8"/>
      <c r="B1048452" s="8"/>
      <c r="C1048452" s="8"/>
      <c r="D1048452" s="8"/>
      <c r="E1048452" s="8"/>
    </row>
    <row r="1048453" s="2" customFormat="1" spans="1:5">
      <c r="A1048453" s="8"/>
      <c r="B1048453" s="8"/>
      <c r="C1048453" s="8"/>
      <c r="D1048453" s="8"/>
      <c r="E1048453" s="8"/>
    </row>
    <row r="1048454" s="2" customFormat="1" spans="1:5">
      <c r="A1048454" s="8"/>
      <c r="B1048454" s="8"/>
      <c r="C1048454" s="8"/>
      <c r="D1048454" s="8"/>
      <c r="E1048454" s="8"/>
    </row>
    <row r="1048455" s="2" customFormat="1" spans="1:5">
      <c r="A1048455" s="8"/>
      <c r="B1048455" s="8"/>
      <c r="C1048455" s="8"/>
      <c r="D1048455" s="8"/>
      <c r="E1048455" s="8"/>
    </row>
    <row r="1048456" s="2" customFormat="1" spans="1:5">
      <c r="A1048456" s="8"/>
      <c r="B1048456" s="8"/>
      <c r="C1048456" s="8"/>
      <c r="D1048456" s="8"/>
      <c r="E1048456" s="8"/>
    </row>
    <row r="1048457" s="2" customFormat="1" spans="1:5">
      <c r="A1048457" s="8"/>
      <c r="B1048457" s="8"/>
      <c r="C1048457" s="8"/>
      <c r="D1048457" s="8"/>
      <c r="E1048457" s="8"/>
    </row>
    <row r="1048458" s="2" customFormat="1" spans="1:5">
      <c r="A1048458" s="8"/>
      <c r="B1048458" s="8"/>
      <c r="C1048458" s="8"/>
      <c r="D1048458" s="8"/>
      <c r="E1048458" s="8"/>
    </row>
    <row r="1048459" s="2" customFormat="1" spans="1:5">
      <c r="A1048459" s="8"/>
      <c r="B1048459" s="8"/>
      <c r="C1048459" s="8"/>
      <c r="D1048459" s="8"/>
      <c r="E1048459" s="8"/>
    </row>
    <row r="1048460" s="2" customFormat="1" spans="1:5">
      <c r="A1048460" s="8"/>
      <c r="B1048460" s="8"/>
      <c r="C1048460" s="8"/>
      <c r="D1048460" s="8"/>
      <c r="E1048460" s="8"/>
    </row>
    <row r="1048461" s="2" customFormat="1" spans="1:5">
      <c r="A1048461" s="8"/>
      <c r="B1048461" s="8"/>
      <c r="C1048461" s="8"/>
      <c r="D1048461" s="8"/>
      <c r="E1048461" s="8"/>
    </row>
    <row r="1048462" s="2" customFormat="1" spans="1:5">
      <c r="A1048462" s="8"/>
      <c r="B1048462" s="8"/>
      <c r="C1048462" s="8"/>
      <c r="D1048462" s="8"/>
      <c r="E1048462" s="8"/>
    </row>
    <row r="1048463" s="2" customFormat="1" spans="1:5">
      <c r="A1048463" s="8"/>
      <c r="B1048463" s="8"/>
      <c r="C1048463" s="8"/>
      <c r="D1048463" s="8"/>
      <c r="E1048463" s="8"/>
    </row>
    <row r="1048464" s="2" customFormat="1" spans="1:5">
      <c r="A1048464" s="8"/>
      <c r="B1048464" s="8"/>
      <c r="C1048464" s="8"/>
      <c r="D1048464" s="8"/>
      <c r="E1048464" s="8"/>
    </row>
    <row r="1048465" s="2" customFormat="1" spans="1:5">
      <c r="A1048465" s="8"/>
      <c r="B1048465" s="8"/>
      <c r="C1048465" s="8"/>
      <c r="D1048465" s="8"/>
      <c r="E1048465" s="8"/>
    </row>
    <row r="1048466" s="2" customFormat="1" spans="1:5">
      <c r="A1048466" s="8"/>
      <c r="B1048466" s="8"/>
      <c r="C1048466" s="8"/>
      <c r="D1048466" s="8"/>
      <c r="E1048466" s="8"/>
    </row>
    <row r="1048467" s="2" customFormat="1" spans="1:5">
      <c r="A1048467" s="8"/>
      <c r="B1048467" s="8"/>
      <c r="C1048467" s="8"/>
      <c r="D1048467" s="8"/>
      <c r="E1048467" s="8"/>
    </row>
    <row r="1048468" s="2" customFormat="1" spans="1:5">
      <c r="A1048468" s="8"/>
      <c r="B1048468" s="8"/>
      <c r="C1048468" s="8"/>
      <c r="D1048468" s="8"/>
      <c r="E1048468" s="8"/>
    </row>
    <row r="1048469" s="2" customFormat="1" spans="1:5">
      <c r="A1048469" s="8"/>
      <c r="B1048469" s="8"/>
      <c r="C1048469" s="8"/>
      <c r="D1048469" s="8"/>
      <c r="E1048469" s="8"/>
    </row>
    <row r="1048470" s="2" customFormat="1" spans="1:5">
      <c r="A1048470" s="8"/>
      <c r="B1048470" s="8"/>
      <c r="C1048470" s="8"/>
      <c r="D1048470" s="8"/>
      <c r="E1048470" s="8"/>
    </row>
    <row r="1048471" s="2" customFormat="1" spans="1:5">
      <c r="A1048471" s="8"/>
      <c r="B1048471" s="8"/>
      <c r="C1048471" s="8"/>
      <c r="D1048471" s="8"/>
      <c r="E1048471" s="8"/>
    </row>
    <row r="1048472" s="2" customFormat="1" spans="1:5">
      <c r="A1048472" s="8"/>
      <c r="B1048472" s="8"/>
      <c r="C1048472" s="8"/>
      <c r="D1048472" s="8"/>
      <c r="E1048472" s="8"/>
    </row>
    <row r="1048473" s="2" customFormat="1" spans="1:5">
      <c r="A1048473" s="8"/>
      <c r="B1048473" s="8"/>
      <c r="C1048473" s="8"/>
      <c r="D1048473" s="8"/>
      <c r="E1048473" s="8"/>
    </row>
    <row r="1048474" s="2" customFormat="1" spans="1:5">
      <c r="A1048474" s="8"/>
      <c r="B1048474" s="8"/>
      <c r="C1048474" s="8"/>
      <c r="D1048474" s="8"/>
      <c r="E1048474" s="8"/>
    </row>
    <row r="1048475" s="2" customFormat="1" spans="1:5">
      <c r="A1048475" s="8"/>
      <c r="B1048475" s="8"/>
      <c r="C1048475" s="8"/>
      <c r="D1048475" s="8"/>
      <c r="E1048475" s="8"/>
    </row>
    <row r="1048476" s="2" customFormat="1" spans="1:5">
      <c r="A1048476" s="8"/>
      <c r="B1048476" s="8"/>
      <c r="C1048476" s="8"/>
      <c r="D1048476" s="8"/>
      <c r="E1048476" s="8"/>
    </row>
    <row r="1048477" s="2" customFormat="1" spans="1:5">
      <c r="A1048477" s="8"/>
      <c r="B1048477" s="8"/>
      <c r="C1048477" s="8"/>
      <c r="D1048477" s="8"/>
      <c r="E1048477" s="8"/>
    </row>
    <row r="1048478" s="2" customFormat="1" spans="1:5">
      <c r="A1048478" s="8"/>
      <c r="B1048478" s="8"/>
      <c r="C1048478" s="8"/>
      <c r="D1048478" s="8"/>
      <c r="E1048478" s="8"/>
    </row>
    <row r="1048479" s="2" customFormat="1" spans="1:5">
      <c r="A1048479" s="8"/>
      <c r="B1048479" s="8"/>
      <c r="C1048479" s="8"/>
      <c r="D1048479" s="8"/>
      <c r="E1048479" s="8"/>
    </row>
    <row r="1048480" s="2" customFormat="1" spans="1:5">
      <c r="A1048480" s="8"/>
      <c r="B1048480" s="8"/>
      <c r="C1048480" s="8"/>
      <c r="D1048480" s="8"/>
      <c r="E1048480" s="8"/>
    </row>
    <row r="1048481" s="2" customFormat="1" spans="1:5">
      <c r="A1048481" s="8"/>
      <c r="B1048481" s="8"/>
      <c r="C1048481" s="8"/>
      <c r="D1048481" s="8"/>
      <c r="E1048481" s="8"/>
    </row>
    <row r="1048482" s="2" customFormat="1" spans="1:5">
      <c r="A1048482" s="8"/>
      <c r="B1048482" s="8"/>
      <c r="C1048482" s="8"/>
      <c r="D1048482" s="8"/>
      <c r="E1048482" s="8"/>
    </row>
    <row r="1048483" s="2" customFormat="1" spans="1:5">
      <c r="A1048483" s="8"/>
      <c r="B1048483" s="8"/>
      <c r="C1048483" s="8"/>
      <c r="D1048483" s="8"/>
      <c r="E1048483" s="8"/>
    </row>
    <row r="1048484" s="2" customFormat="1" spans="1:5">
      <c r="A1048484" s="8"/>
      <c r="B1048484" s="8"/>
      <c r="C1048484" s="8"/>
      <c r="D1048484" s="8"/>
      <c r="E1048484" s="8"/>
    </row>
    <row r="1048485" s="2" customFormat="1" spans="1:5">
      <c r="A1048485" s="8"/>
      <c r="B1048485" s="8"/>
      <c r="C1048485" s="8"/>
      <c r="D1048485" s="8"/>
      <c r="E1048485" s="8"/>
    </row>
    <row r="1048486" s="2" customFormat="1" spans="1:5">
      <c r="A1048486" s="8"/>
      <c r="B1048486" s="8"/>
      <c r="C1048486" s="8"/>
      <c r="D1048486" s="8"/>
      <c r="E1048486" s="8"/>
    </row>
    <row r="1048487" s="2" customFormat="1" spans="1:5">
      <c r="A1048487" s="8"/>
      <c r="B1048487" s="8"/>
      <c r="C1048487" s="8"/>
      <c r="D1048487" s="8"/>
      <c r="E1048487" s="8"/>
    </row>
    <row r="1048488" s="2" customFormat="1" spans="1:5">
      <c r="A1048488" s="8"/>
      <c r="B1048488" s="8"/>
      <c r="C1048488" s="8"/>
      <c r="D1048488" s="8"/>
      <c r="E1048488" s="8"/>
    </row>
    <row r="1048489" s="2" customFormat="1" spans="1:5">
      <c r="A1048489" s="8"/>
      <c r="B1048489" s="8"/>
      <c r="C1048489" s="8"/>
      <c r="D1048489" s="8"/>
      <c r="E1048489" s="8"/>
    </row>
    <row r="1048490" s="2" customFormat="1" spans="1:5">
      <c r="A1048490" s="8"/>
      <c r="B1048490" s="8"/>
      <c r="C1048490" s="8"/>
      <c r="D1048490" s="8"/>
      <c r="E1048490" s="8"/>
    </row>
    <row r="1048491" s="2" customFormat="1" spans="1:5">
      <c r="A1048491" s="8"/>
      <c r="B1048491" s="8"/>
      <c r="C1048491" s="8"/>
      <c r="D1048491" s="8"/>
      <c r="E1048491" s="8"/>
    </row>
    <row r="1048492" s="2" customFormat="1" spans="1:5">
      <c r="A1048492" s="8"/>
      <c r="B1048492" s="8"/>
      <c r="C1048492" s="8"/>
      <c r="D1048492" s="8"/>
      <c r="E1048492" s="8"/>
    </row>
    <row r="1048493" s="2" customFormat="1" spans="1:5">
      <c r="A1048493" s="8"/>
      <c r="B1048493" s="8"/>
      <c r="C1048493" s="8"/>
      <c r="D1048493" s="8"/>
      <c r="E1048493" s="8"/>
    </row>
    <row r="1048494" s="2" customFormat="1" spans="1:5">
      <c r="A1048494" s="8"/>
      <c r="B1048494" s="8"/>
      <c r="C1048494" s="8"/>
      <c r="D1048494" s="8"/>
      <c r="E1048494" s="8"/>
    </row>
    <row r="1048495" s="2" customFormat="1" spans="1:5">
      <c r="A1048495" s="8"/>
      <c r="B1048495" s="8"/>
      <c r="C1048495" s="8"/>
      <c r="D1048495" s="8"/>
      <c r="E1048495" s="8"/>
    </row>
    <row r="1048496" s="2" customFormat="1" spans="1:5">
      <c r="A1048496" s="8"/>
      <c r="B1048496" s="8"/>
      <c r="C1048496" s="8"/>
      <c r="D1048496" s="8"/>
      <c r="E1048496" s="8"/>
    </row>
    <row r="1048497" s="2" customFormat="1" spans="1:5">
      <c r="A1048497" s="8"/>
      <c r="B1048497" s="8"/>
      <c r="C1048497" s="8"/>
      <c r="D1048497" s="8"/>
      <c r="E1048497" s="8"/>
    </row>
    <row r="1048498" s="2" customFormat="1" spans="1:5">
      <c r="A1048498" s="8"/>
      <c r="B1048498" s="8"/>
      <c r="C1048498" s="8"/>
      <c r="D1048498" s="8"/>
      <c r="E1048498" s="8"/>
    </row>
    <row r="1048499" s="2" customFormat="1" spans="1:5">
      <c r="A1048499" s="8"/>
      <c r="B1048499" s="8"/>
      <c r="C1048499" s="8"/>
      <c r="D1048499" s="8"/>
      <c r="E1048499" s="8"/>
    </row>
    <row r="1048500" s="2" customFormat="1" spans="1:5">
      <c r="A1048500" s="8"/>
      <c r="B1048500" s="8"/>
      <c r="C1048500" s="8"/>
      <c r="D1048500" s="8"/>
      <c r="E1048500" s="8"/>
    </row>
    <row r="1048501" s="2" customFormat="1" spans="1:5">
      <c r="A1048501" s="8"/>
      <c r="B1048501" s="8"/>
      <c r="C1048501" s="8"/>
      <c r="D1048501" s="8"/>
      <c r="E1048501" s="8"/>
    </row>
    <row r="1048502" s="2" customFormat="1" spans="1:5">
      <c r="A1048502" s="8"/>
      <c r="B1048502" s="8"/>
      <c r="C1048502" s="8"/>
      <c r="D1048502" s="8"/>
      <c r="E1048502" s="8"/>
    </row>
    <row r="1048503" s="2" customFormat="1" spans="1:5">
      <c r="A1048503" s="8"/>
      <c r="B1048503" s="8"/>
      <c r="C1048503" s="8"/>
      <c r="D1048503" s="8"/>
      <c r="E1048503" s="8"/>
    </row>
    <row r="1048504" s="2" customFormat="1" spans="1:5">
      <c r="A1048504" s="8"/>
      <c r="B1048504" s="8"/>
      <c r="C1048504" s="8"/>
      <c r="D1048504" s="8"/>
      <c r="E1048504" s="8"/>
    </row>
    <row r="1048505" s="2" customFormat="1" spans="1:5">
      <c r="A1048505" s="8"/>
      <c r="B1048505" s="8"/>
      <c r="C1048505" s="8"/>
      <c r="D1048505" s="8"/>
      <c r="E1048505" s="8"/>
    </row>
    <row r="1048506" s="2" customFormat="1" spans="1:5">
      <c r="A1048506" s="8"/>
      <c r="B1048506" s="8"/>
      <c r="C1048506" s="8"/>
      <c r="D1048506" s="8"/>
      <c r="E1048506" s="8"/>
    </row>
    <row r="1048507" s="2" customFormat="1" spans="1:5">
      <c r="A1048507" s="8"/>
      <c r="B1048507" s="8"/>
      <c r="C1048507" s="8"/>
      <c r="D1048507" s="8"/>
      <c r="E1048507" s="8"/>
    </row>
    <row r="1048508" s="2" customFormat="1" spans="1:5">
      <c r="A1048508" s="8"/>
      <c r="B1048508" s="8"/>
      <c r="C1048508" s="8"/>
      <c r="D1048508" s="8"/>
      <c r="E1048508" s="8"/>
    </row>
    <row r="1048509" s="2" customFormat="1" spans="1:5">
      <c r="A1048509" s="8"/>
      <c r="B1048509" s="8"/>
      <c r="C1048509" s="8"/>
      <c r="D1048509" s="8"/>
      <c r="E1048509" s="8"/>
    </row>
    <row r="1048510" s="2" customFormat="1" spans="1:5">
      <c r="A1048510" s="8"/>
      <c r="B1048510" s="8"/>
      <c r="C1048510" s="8"/>
      <c r="D1048510" s="8"/>
      <c r="E1048510" s="8"/>
    </row>
    <row r="1048511" s="2" customFormat="1" spans="1:5">
      <c r="A1048511" s="8"/>
      <c r="B1048511" s="8"/>
      <c r="C1048511" s="8"/>
      <c r="D1048511" s="8"/>
      <c r="E1048511" s="8"/>
    </row>
    <row r="1048512" s="2" customFormat="1" spans="1:5">
      <c r="A1048512" s="8"/>
      <c r="B1048512" s="8"/>
      <c r="C1048512" s="8"/>
      <c r="D1048512" s="8"/>
      <c r="E1048512" s="8"/>
    </row>
    <row r="1048513" s="2" customFormat="1" spans="1:5">
      <c r="A1048513" s="8"/>
      <c r="B1048513" s="8"/>
      <c r="C1048513" s="8"/>
      <c r="D1048513" s="8"/>
      <c r="E1048513" s="8"/>
    </row>
    <row r="1048514" s="2" customFormat="1" spans="1:5">
      <c r="A1048514" s="8"/>
      <c r="B1048514" s="8"/>
      <c r="C1048514" s="8"/>
      <c r="D1048514" s="8"/>
      <c r="E1048514" s="8"/>
    </row>
    <row r="1048515" s="2" customFormat="1" spans="1:5">
      <c r="A1048515" s="8"/>
      <c r="B1048515" s="8"/>
      <c r="C1048515" s="8"/>
      <c r="D1048515" s="8"/>
      <c r="E1048515" s="8"/>
    </row>
    <row r="1048516" s="2" customFormat="1" spans="1:5">
      <c r="A1048516" s="8"/>
      <c r="B1048516" s="8"/>
      <c r="C1048516" s="8"/>
      <c r="D1048516" s="8"/>
      <c r="E1048516" s="8"/>
    </row>
    <row r="1048517" s="2" customFormat="1" spans="1:5">
      <c r="A1048517" s="8"/>
      <c r="B1048517" s="8"/>
      <c r="C1048517" s="8"/>
      <c r="D1048517" s="8"/>
      <c r="E1048517" s="8"/>
    </row>
    <row r="1048518" s="2" customFormat="1" spans="1:5">
      <c r="A1048518" s="8"/>
      <c r="B1048518" s="8"/>
      <c r="C1048518" s="8"/>
      <c r="D1048518" s="8"/>
      <c r="E1048518" s="8"/>
    </row>
    <row r="1048519" s="2" customFormat="1" spans="1:5">
      <c r="A1048519" s="8"/>
      <c r="B1048519" s="8"/>
      <c r="C1048519" s="8"/>
      <c r="D1048519" s="8"/>
      <c r="E1048519" s="8"/>
    </row>
    <row r="1048520" s="2" customFormat="1" spans="1:5">
      <c r="A1048520" s="8"/>
      <c r="B1048520" s="8"/>
      <c r="C1048520" s="8"/>
      <c r="D1048520" s="8"/>
      <c r="E1048520" s="8"/>
    </row>
    <row r="1048521" s="2" customFormat="1" spans="1:5">
      <c r="A1048521" s="8"/>
      <c r="B1048521" s="8"/>
      <c r="C1048521" s="8"/>
      <c r="D1048521" s="8"/>
      <c r="E1048521" s="8"/>
    </row>
    <row r="1048522" s="2" customFormat="1" spans="1:5">
      <c r="A1048522" s="8"/>
      <c r="B1048522" s="8"/>
      <c r="C1048522" s="8"/>
      <c r="D1048522" s="8"/>
      <c r="E1048522" s="8"/>
    </row>
    <row r="1048523" s="2" customFormat="1" spans="1:5">
      <c r="A1048523" s="8"/>
      <c r="B1048523" s="8"/>
      <c r="C1048523" s="8"/>
      <c r="D1048523" s="8"/>
      <c r="E1048523" s="8"/>
    </row>
    <row r="1048524" s="2" customFormat="1" spans="1:5">
      <c r="A1048524" s="8"/>
      <c r="B1048524" s="8"/>
      <c r="C1048524" s="8"/>
      <c r="D1048524" s="8"/>
      <c r="E1048524" s="8"/>
    </row>
    <row r="1048525" s="2" customFormat="1" spans="1:5">
      <c r="A1048525" s="8"/>
      <c r="B1048525" s="8"/>
      <c r="C1048525" s="8"/>
      <c r="D1048525" s="8"/>
      <c r="E1048525" s="8"/>
    </row>
    <row r="1048526" s="2" customFormat="1" spans="1:5">
      <c r="A1048526" s="8"/>
      <c r="B1048526" s="8"/>
      <c r="C1048526" s="8"/>
      <c r="D1048526" s="8"/>
      <c r="E1048526" s="8"/>
    </row>
    <row r="1048527" s="2" customFormat="1" spans="1:5">
      <c r="A1048527" s="8"/>
      <c r="B1048527" s="8"/>
      <c r="C1048527" s="8"/>
      <c r="D1048527" s="8"/>
      <c r="E1048527" s="8"/>
    </row>
    <row r="1048528" s="2" customFormat="1" spans="1:5">
      <c r="A1048528" s="8"/>
      <c r="B1048528" s="8"/>
      <c r="C1048528" s="8"/>
      <c r="D1048528" s="8"/>
      <c r="E1048528" s="8"/>
    </row>
    <row r="1048529" s="2" customFormat="1" spans="1:5">
      <c r="A1048529" s="8"/>
      <c r="B1048529" s="8"/>
      <c r="C1048529" s="8"/>
      <c r="D1048529" s="8"/>
      <c r="E1048529" s="8"/>
    </row>
    <row r="1048530" s="2" customFormat="1" spans="1:5">
      <c r="A1048530" s="8"/>
      <c r="B1048530" s="8"/>
      <c r="C1048530" s="8"/>
      <c r="D1048530" s="8"/>
      <c r="E1048530" s="8"/>
    </row>
    <row r="1048531" s="2" customFormat="1" spans="1:5">
      <c r="A1048531" s="8"/>
      <c r="B1048531" s="8"/>
      <c r="C1048531" s="8"/>
      <c r="D1048531" s="8"/>
      <c r="E1048531" s="8"/>
    </row>
    <row r="1048532" s="2" customFormat="1" spans="1:5">
      <c r="A1048532" s="8"/>
      <c r="B1048532" s="8"/>
      <c r="C1048532" s="8"/>
      <c r="D1048532" s="8"/>
      <c r="E1048532" s="8"/>
    </row>
    <row r="1048533" s="2" customFormat="1" spans="1:5">
      <c r="A1048533" s="8"/>
      <c r="B1048533" s="8"/>
      <c r="C1048533" s="8"/>
      <c r="D1048533" s="8"/>
      <c r="E1048533" s="8"/>
    </row>
    <row r="1048534" s="2" customFormat="1" spans="1:5">
      <c r="A1048534" s="8"/>
      <c r="B1048534" s="8"/>
      <c r="C1048534" s="8"/>
      <c r="D1048534" s="8"/>
      <c r="E1048534" s="8"/>
    </row>
    <row r="1048535" s="2" customFormat="1" spans="1:5">
      <c r="A1048535" s="8"/>
      <c r="B1048535" s="8"/>
      <c r="C1048535" s="8"/>
      <c r="D1048535" s="8"/>
      <c r="E1048535" s="8"/>
    </row>
    <row r="1048536" s="2" customFormat="1" spans="1:5">
      <c r="A1048536" s="8"/>
      <c r="B1048536" s="8"/>
      <c r="C1048536" s="8"/>
      <c r="D1048536" s="8"/>
      <c r="E1048536" s="8"/>
    </row>
    <row r="1048537" s="2" customFormat="1" spans="1:5">
      <c r="A1048537" s="8"/>
      <c r="B1048537" s="8"/>
      <c r="C1048537" s="8"/>
      <c r="D1048537" s="8"/>
      <c r="E1048537" s="8"/>
    </row>
    <row r="1048538" s="2" customFormat="1" spans="1:5">
      <c r="A1048538" s="8"/>
      <c r="B1048538" s="8"/>
      <c r="C1048538" s="8"/>
      <c r="D1048538" s="8"/>
      <c r="E1048538" s="8"/>
    </row>
    <row r="1048539" s="2" customFormat="1" spans="1:5">
      <c r="A1048539" s="8"/>
      <c r="B1048539" s="8"/>
      <c r="C1048539" s="8"/>
      <c r="D1048539" s="8"/>
      <c r="E1048539" s="8"/>
    </row>
    <row r="1048540" s="2" customFormat="1" spans="1:5">
      <c r="A1048540" s="8"/>
      <c r="B1048540" s="8"/>
      <c r="C1048540" s="8"/>
      <c r="D1048540" s="8"/>
      <c r="E1048540" s="8"/>
    </row>
    <row r="1048541" s="2" customFormat="1" spans="1:5">
      <c r="A1048541" s="8"/>
      <c r="B1048541" s="8"/>
      <c r="C1048541" s="8"/>
      <c r="D1048541" s="8"/>
      <c r="E1048541" s="8"/>
    </row>
    <row r="1048542" s="2" customFormat="1" spans="1:5">
      <c r="A1048542" s="8"/>
      <c r="B1048542" s="8"/>
      <c r="C1048542" s="8"/>
      <c r="D1048542" s="8"/>
      <c r="E1048542" s="8"/>
    </row>
    <row r="1048543" s="2" customFormat="1" spans="1:5">
      <c r="A1048543" s="8"/>
      <c r="B1048543" s="8"/>
      <c r="C1048543" s="8"/>
      <c r="D1048543" s="8"/>
      <c r="E1048543" s="8"/>
    </row>
    <row r="1048544" s="2" customFormat="1" spans="1:5">
      <c r="A1048544" s="8"/>
      <c r="B1048544" s="8"/>
      <c r="C1048544" s="8"/>
      <c r="D1048544" s="8"/>
      <c r="E1048544" s="8"/>
    </row>
    <row r="1048545" s="2" customFormat="1" spans="1:5">
      <c r="A1048545" s="8"/>
      <c r="B1048545" s="8"/>
      <c r="C1048545" s="8"/>
      <c r="D1048545" s="8"/>
      <c r="E1048545" s="8"/>
    </row>
    <row r="1048546" s="2" customFormat="1" spans="1:5">
      <c r="A1048546" s="8"/>
      <c r="B1048546" s="8"/>
      <c r="C1048546" s="8"/>
      <c r="D1048546" s="8"/>
      <c r="E1048546" s="8"/>
    </row>
    <row r="1048547" s="2" customFormat="1" spans="1:5">
      <c r="A1048547" s="8"/>
      <c r="B1048547" s="8"/>
      <c r="C1048547" s="8"/>
      <c r="D1048547" s="8"/>
      <c r="E1048547" s="8"/>
    </row>
    <row r="1048548" s="2" customFormat="1" spans="1:5">
      <c r="A1048548" s="8"/>
      <c r="B1048548" s="8"/>
      <c r="C1048548" s="8"/>
      <c r="D1048548" s="8"/>
      <c r="E1048548" s="8"/>
    </row>
    <row r="1048549" s="2" customFormat="1" spans="1:5">
      <c r="A1048549" s="8"/>
      <c r="B1048549" s="8"/>
      <c r="C1048549" s="8"/>
      <c r="D1048549" s="8"/>
      <c r="E1048549" s="8"/>
    </row>
    <row r="1048550" s="2" customFormat="1" spans="1:5">
      <c r="A1048550" s="8"/>
      <c r="B1048550" s="8"/>
      <c r="C1048550" s="8"/>
      <c r="D1048550" s="8"/>
      <c r="E1048550" s="8"/>
    </row>
    <row r="1048551" s="2" customFormat="1" spans="1:5">
      <c r="A1048551" s="8"/>
      <c r="B1048551" s="8"/>
      <c r="C1048551" s="8"/>
      <c r="D1048551" s="8"/>
      <c r="E1048551" s="8"/>
    </row>
    <row r="1048552" s="2" customFormat="1" spans="1:5">
      <c r="A1048552" s="8"/>
      <c r="B1048552" s="8"/>
      <c r="C1048552" s="8"/>
      <c r="D1048552" s="8"/>
      <c r="E1048552" s="8"/>
    </row>
    <row r="1048553" s="2" customFormat="1" spans="1:5">
      <c r="A1048553" s="8"/>
      <c r="B1048553" s="8"/>
      <c r="C1048553" s="8"/>
      <c r="D1048553" s="8"/>
      <c r="E1048553" s="8"/>
    </row>
    <row r="1048554" s="2" customFormat="1" spans="1:5">
      <c r="A1048554" s="8"/>
      <c r="B1048554" s="8"/>
      <c r="C1048554" s="8"/>
      <c r="D1048554" s="8"/>
      <c r="E1048554" s="8"/>
    </row>
    <row r="1048555" s="2" customFormat="1" spans="1:5">
      <c r="A1048555" s="8"/>
      <c r="B1048555" s="8"/>
      <c r="C1048555" s="8"/>
      <c r="D1048555" s="8"/>
      <c r="E1048555" s="8"/>
    </row>
    <row r="1048556" s="2" customFormat="1" spans="1:5">
      <c r="A1048556" s="8"/>
      <c r="B1048556" s="8"/>
      <c r="C1048556" s="8"/>
      <c r="D1048556" s="8"/>
      <c r="E1048556" s="8"/>
    </row>
    <row r="1048557" s="2" customFormat="1" spans="1:5">
      <c r="A1048557" s="8"/>
      <c r="B1048557" s="8"/>
      <c r="C1048557" s="8"/>
      <c r="D1048557" s="8"/>
      <c r="E1048557" s="8"/>
    </row>
    <row r="1048558" s="2" customFormat="1" spans="1:5">
      <c r="A1048558" s="8"/>
      <c r="B1048558" s="8"/>
      <c r="C1048558" s="8"/>
      <c r="D1048558" s="8"/>
      <c r="E1048558" s="8"/>
    </row>
    <row r="1048559" s="2" customFormat="1" spans="1:5">
      <c r="A1048559" s="8"/>
      <c r="B1048559" s="8"/>
      <c r="C1048559" s="8"/>
      <c r="D1048559" s="8"/>
      <c r="E1048559" s="8"/>
    </row>
    <row r="1048560" s="2" customFormat="1" spans="1:5">
      <c r="A1048560" s="8"/>
      <c r="B1048560" s="8"/>
      <c r="C1048560" s="8"/>
      <c r="D1048560" s="8"/>
      <c r="E1048560" s="8"/>
    </row>
    <row r="1048561" s="2" customFormat="1" spans="1:5">
      <c r="A1048561" s="8"/>
      <c r="B1048561" s="8"/>
      <c r="C1048561" s="8"/>
      <c r="D1048561" s="8"/>
      <c r="E1048561" s="8"/>
    </row>
    <row r="1048562" s="2" customFormat="1" spans="1:5">
      <c r="A1048562" s="8"/>
      <c r="B1048562" s="8"/>
      <c r="C1048562" s="8"/>
      <c r="D1048562" s="8"/>
      <c r="E1048562" s="8"/>
    </row>
    <row r="1048563" s="2" customFormat="1" spans="1:5">
      <c r="A1048563" s="8"/>
      <c r="B1048563" s="8"/>
      <c r="C1048563" s="8"/>
      <c r="D1048563" s="8"/>
      <c r="E1048563" s="8"/>
    </row>
    <row r="1048564" s="2" customFormat="1" spans="1:5">
      <c r="A1048564" s="8"/>
      <c r="B1048564" s="8"/>
      <c r="C1048564" s="8"/>
      <c r="D1048564" s="8"/>
      <c r="E1048564" s="8"/>
    </row>
    <row r="1048565" s="2" customFormat="1" spans="1:5">
      <c r="A1048565" s="8"/>
      <c r="B1048565" s="8"/>
      <c r="C1048565" s="8"/>
      <c r="D1048565" s="8"/>
      <c r="E1048565" s="8"/>
    </row>
    <row r="1048566" s="2" customFormat="1" spans="1:5">
      <c r="A1048566" s="8"/>
      <c r="B1048566" s="8"/>
      <c r="C1048566" s="8"/>
      <c r="D1048566" s="8"/>
      <c r="E1048566" s="8"/>
    </row>
    <row r="1048567" s="2" customFormat="1" spans="1:5">
      <c r="A1048567" s="8"/>
      <c r="B1048567" s="8"/>
      <c r="C1048567" s="8"/>
      <c r="D1048567" s="8"/>
      <c r="E1048567" s="8"/>
    </row>
    <row r="1048568" s="2" customFormat="1" spans="1:5">
      <c r="A1048568" s="8"/>
      <c r="B1048568" s="8"/>
      <c r="C1048568" s="8"/>
      <c r="D1048568" s="8"/>
      <c r="E1048568" s="8"/>
    </row>
    <row r="1048569" s="2" customFormat="1" spans="1:5">
      <c r="A1048569" s="8"/>
      <c r="B1048569" s="8"/>
      <c r="C1048569" s="8"/>
      <c r="D1048569" s="8"/>
      <c r="E1048569" s="8"/>
    </row>
    <row r="1048570" s="2" customFormat="1" spans="1:5">
      <c r="A1048570" s="8"/>
      <c r="B1048570" s="8"/>
      <c r="C1048570" s="8"/>
      <c r="D1048570" s="8"/>
      <c r="E1048570" s="8"/>
    </row>
    <row r="1048571" s="2" customFormat="1" spans="1:5">
      <c r="A1048571" s="8"/>
      <c r="B1048571" s="8"/>
      <c r="C1048571" s="8"/>
      <c r="D1048571" s="8"/>
      <c r="E1048571" s="8"/>
    </row>
    <row r="1048572" s="2" customFormat="1" spans="1:5">
      <c r="A1048572" s="8"/>
      <c r="B1048572" s="8"/>
      <c r="C1048572" s="8"/>
      <c r="D1048572" s="8"/>
      <c r="E1048572" s="8"/>
    </row>
    <row r="1048573" s="2" customFormat="1" spans="1:5">
      <c r="A1048573" s="8"/>
      <c r="B1048573" s="8"/>
      <c r="C1048573" s="8"/>
      <c r="D1048573" s="8"/>
      <c r="E1048573" s="8"/>
    </row>
    <row r="1048574" s="2" customFormat="1" spans="1:5">
      <c r="A1048574" s="8"/>
      <c r="B1048574" s="8"/>
      <c r="C1048574" s="8"/>
      <c r="D1048574" s="8"/>
      <c r="E1048574" s="8"/>
    </row>
    <row r="1048575" s="2" customFormat="1" spans="1:5">
      <c r="A1048575" s="8"/>
      <c r="B1048575" s="8"/>
      <c r="C1048575" s="8"/>
      <c r="D1048575" s="8"/>
      <c r="E1048575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明细</vt:lpstr>
      <vt:lpstr>商品管理</vt:lpstr>
      <vt:lpstr>FBA仓库代码表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</cp:lastModifiedBy>
  <dcterms:created xsi:type="dcterms:W3CDTF">2026-04-06T21:57:00Z</dcterms:created>
  <dcterms:modified xsi:type="dcterms:W3CDTF">2026-05-04T22:23:58Z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792EF6CE1CB2BB5477F7CD696ED70139_43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